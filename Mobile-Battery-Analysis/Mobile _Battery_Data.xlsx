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drawings/drawing1.xml" ContentType="application/vnd.openxmlformats-officedocument.drawing+xml"/>
  <Override PartName="/xl/drawings/drawing2.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000" windowHeight="4356" activeTab="1"/>
  </bookViews>
  <sheets>
    <sheet name="Sheet2" sheetId="2" r:id="rId1"/>
    <sheet name="Sheet7" sheetId="7" r:id="rId2"/>
    <sheet name="Sheet3" sheetId="3" r:id="rId3"/>
    <sheet name="Sheet4" sheetId="4" r:id="rId4"/>
    <sheet name="Sheet5" sheetId="5" r:id="rId5"/>
    <sheet name="Sheet6" sheetId="6" r:id="rId6"/>
    <sheet name="Sheet1" sheetId="1" r:id="rId7"/>
  </sheets>
  <calcPr calcId="191029"/>
  <pivotCaches>
    <pivotCache cacheId="0"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<sst xmlns="http://schemas.openxmlformats.org/spreadsheetml/2006/main" count="123" uniqueCount="40">
  <si>
    <t>Mobile Battery Usage Analysis Dashboard</t>
  </si>
  <si>
    <t>Avg Screen Time Hrs</t>
  </si>
  <si>
    <t>Avg Battery Drain %</t>
  </si>
  <si>
    <t>Avg Charging Sessions</t>
  </si>
  <si>
    <t>Avg Battery Health</t>
  </si>
  <si>
    <t>Insights:</t>
  </si>
  <si>
    <t>Conclusion:</t>
  </si>
  <si>
    <t>• Battery health dropped from 100% → 92% in 30 days.</t>
  </si>
  <si>
    <t>User behavior, usage patterns, and temperature strongly affect battery performance.</t>
  </si>
  <si>
    <t>• BGMI causes the highest battery drain (55%).</t>
  </si>
  <si>
    <t>Reducing high-drain apps and lowering screen time helps improve battery life.</t>
  </si>
  <si>
    <t>• Weekdays have higher screen time (5.4 hrs) than weekends (5.05 hrs).</t>
  </si>
  <si>
    <t>• High temperature increases battery drain.</t>
  </si>
  <si>
    <t>• YouTube and Instagram have highest usage.</t>
  </si>
  <si>
    <t>Date</t>
  </si>
  <si>
    <t>Screen_Time_Hrs</t>
  </si>
  <si>
    <t>Battery_Start_%</t>
  </si>
  <si>
    <t>Battery_End_%</t>
  </si>
  <si>
    <t>Battery_Drain_%</t>
  </si>
  <si>
    <t>Charging_Sessions</t>
  </si>
  <si>
    <t>Max_Temperature_C</t>
  </si>
  <si>
    <t>Top_App_Used</t>
  </si>
  <si>
    <t>App_Usage_Hrs</t>
  </si>
  <si>
    <t>Calls_Duration_Min</t>
  </si>
  <si>
    <t>Internet_Usage_GB</t>
  </si>
  <si>
    <t>Battery_Health</t>
  </si>
  <si>
    <t>YouTube</t>
  </si>
  <si>
    <t>Instagram</t>
  </si>
  <si>
    <t>WhatsApp</t>
  </si>
  <si>
    <t>BGMI</t>
  </si>
  <si>
    <t>Row Labels</t>
  </si>
  <si>
    <t>Average of Battery_Drain_%</t>
  </si>
  <si>
    <t>Grand Total</t>
  </si>
  <si>
    <t>Average of Screen_Time_Hrs</t>
  </si>
  <si>
    <t>Weekday</t>
  </si>
  <si>
    <t>Weekend</t>
  </si>
  <si>
    <t>Sum of App_Usage_Hrs</t>
  </si>
  <si>
    <t>Battery_Drain_per_Hour</t>
  </si>
  <si>
    <t>Day_Type</t>
  </si>
  <si>
    <t>High_Screen_Time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</si>
</sst>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s>
  <fonts count="24">
    <font>
      <sz val="11"/>
      <color theme="1"/>
      <name val="Aptos Narrow"/>
      <charset val="134"/>
      <scheme val="minor"/>
    </font>
    <font>
      <b/>
      <sz val="11"/>
      <color theme="1"/>
      <name val="Aptos Narrow"/>
      <charset val="134"/>
      <scheme val="minor"/>
    </font>
    <font>
      <b/>
      <sz val="28"/>
      <color theme="3"/>
      <name val="Aptos Narrow"/>
      <charset val="134"/>
      <scheme val="minor"/>
    </font>
    <font>
      <b/>
      <sz val="14"/>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177" fontId="4" fillId="0" borderId="0" applyFont="0" applyFill="0" applyBorder="0" applyAlignment="0" applyProtection="0">
      <alignment vertical="center"/>
    </xf>
    <xf numFmtId="9" fontId="4" fillId="0" borderId="0" applyFont="0" applyFill="0" applyBorder="0" applyAlignment="0" applyProtection="0">
      <alignment vertical="center"/>
    </xf>
    <xf numFmtId="178" fontId="4" fillId="0" borderId="0" applyFont="0" applyFill="0" applyBorder="0" applyAlignment="0" applyProtection="0">
      <alignment vertical="center"/>
    </xf>
    <xf numFmtId="179"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9">
    <xf numFmtId="0" fontId="0" fillId="0" borderId="0" xfId="0"/>
    <xf numFmtId="0" fontId="1" fillId="0" borderId="0" xfId="0" applyFont="1" applyAlignment="1">
      <alignment horizontal="center" vertical="center" wrapText="1"/>
    </xf>
    <xf numFmtId="180"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left"/>
    </xf>
    <xf numFmtId="0" fontId="2" fillId="2" borderId="0" xfId="0" applyFont="1" applyFill="1" applyAlignment="1">
      <alignment horizontal="right"/>
    </xf>
    <xf numFmtId="0" fontId="0" fillId="0" borderId="0" xfId="0" applyAlignment="1">
      <alignment horizontal="right"/>
    </xf>
    <xf numFmtId="0" fontId="3" fillId="0" borderId="0" xfId="0" applyFont="1" applyAlignment="1">
      <alignment horizontal="left"/>
    </xf>
    <xf numFmtId="0" fontId="3"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4">
    <dxf>
      <alignment horizontal="center"/>
    </dxf>
    <dxf>
      <alignment horizontal="center"/>
    </dxf>
    <dxf>
      <alignment horizontal="center"/>
    </dxf>
    <dxf>
      <font>
        <sz val="11"/>
      </font>
    </dxf>
    <dxf>
      <font>
        <sz val="11"/>
      </font>
    </dxf>
    <dxf>
      <font>
        <sz val="11"/>
      </font>
    </dxf>
    <dxf>
      <alignment horizontal="right"/>
    </dxf>
    <dxf>
      <alignment horizontal="right"/>
    </dxf>
    <dxf>
      <alignment horizontal="right"/>
    </dxf>
    <dxf>
      <numFmt numFmtId="180" formatCode="dd/mm/yyyy"/>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numFmt numFmtId="0" formatCode="General"/>
      <alignment vertical="center" wrapText="1"/>
    </dxf>
    <dxf>
      <numFmt numFmtId="0" formatCode="General"/>
      <alignment vertical="center" wrapText="1"/>
    </dxf>
    <dxf>
      <numFmt numFmtId="0" formatCode="General"/>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pivotCacheDefinition" Target="pivotCache/pivotCacheDefinition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_Battery_Data.xlsx]Sheet3!PivotTable4</c:name>
    <c:fmtId val="9"/>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a:t>Average</a:t>
            </a:r>
            <a:r>
              <a:rPr lang="en-IN" baseline="0"/>
              <a:t> Battery Drain by App</a:t>
            </a:r>
            <a:endParaRPr lang="en-IN"/>
          </a:p>
        </c:rich>
      </c:tx>
      <c:layout/>
      <c:overlay val="0"/>
      <c:spPr>
        <a:noFill/>
        <a:ln>
          <a:noFill/>
        </a:ln>
        <a:effectLst/>
      </c:spPr>
    </c:title>
    <c:autoTitleDeleted val="0"/>
    <c:plotArea>
      <c:layout>
        <c:manualLayout>
          <c:layoutTarget val="inner"/>
          <c:xMode val="edge"/>
          <c:yMode val="edge"/>
          <c:x val="0.0626304027223513"/>
          <c:y val="0.0925693446869992"/>
          <c:w val="0.908578984377641"/>
          <c:h val="0.831245433069559"/>
        </c:manualLayout>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BGMI</c:v>
                </c:pt>
                <c:pt idx="1">
                  <c:v>Instagram</c:v>
                </c:pt>
                <c:pt idx="2">
                  <c:v>WhatsApp</c:v>
                </c:pt>
                <c:pt idx="3">
                  <c:v>YouTube</c:v>
                </c:pt>
              </c:strCache>
            </c:strRef>
          </c:cat>
          <c:val>
            <c:numRef>
              <c:f>Sheet3!$B$4:$B$8</c:f>
              <c:numCache>
                <c:formatCode>General</c:formatCode>
                <c:ptCount val="4"/>
                <c:pt idx="0">
                  <c:v>55.6</c:v>
                </c:pt>
                <c:pt idx="1">
                  <c:v>45.2222222222222</c:v>
                </c:pt>
                <c:pt idx="2">
                  <c:v>33.1428571428571</c:v>
                </c:pt>
                <c:pt idx="3">
                  <c:v>47.7777777777778</c:v>
                </c:pt>
              </c:numCache>
            </c:numRef>
          </c:val>
        </c:ser>
        <c:dLbls>
          <c:showLegendKey val="0"/>
          <c:showVal val="1"/>
          <c:showCatName val="0"/>
          <c:showSerName val="0"/>
          <c:showPercent val="0"/>
          <c:showBubbleSize val="0"/>
        </c:dLbls>
        <c:gapWidth val="219"/>
        <c:overlap val="-27"/>
        <c:axId val="28148623"/>
        <c:axId val="28151023"/>
      </c:barChart>
      <c:catAx>
        <c:axId val="2814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8151023"/>
        <c:crosses val="autoZero"/>
        <c:auto val="1"/>
        <c:lblAlgn val="ctr"/>
        <c:lblOffset val="100"/>
        <c:noMultiLvlLbl val="0"/>
      </c:catAx>
      <c:valAx>
        <c:axId val="28151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8148623"/>
        <c:crosses val="autoZero"/>
        <c:crossBetween val="between"/>
      </c:valAx>
      <c:spPr>
        <a:noFill/>
        <a:ln>
          <a:noFill/>
        </a:ln>
        <a:effectLst/>
      </c:spPr>
    </c:plotArea>
    <c:plotVisOnly val="1"/>
    <c:dispBlanksAs val="gap"/>
    <c:showDLblsOverMax val="0"/>
    <c:extLst>
      <c:ext uri="{0b15fc19-7d7d-44ad-8c2d-2c3a37ce22c3}">
        <chartProps xmlns="https://web.wps.cn/et/2018/main" chartId="{fb173270-9a51-428a-b6a9-7f97f144b01c}"/>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_Battery_Data.xlsx]Sheet5!PivotTable6</c:name>
    <c:fmtId val="4"/>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a:t>Temperature vs Battery</a:t>
            </a:r>
            <a:r>
              <a:rPr lang="en-IN" baseline="0"/>
              <a:t> Drain</a:t>
            </a:r>
            <a:endParaRPr lang="en-IN"/>
          </a:p>
        </c:rich>
      </c:tx>
      <c:layout/>
      <c:overlay val="0"/>
      <c:spPr>
        <a:noFill/>
        <a:ln>
          <a:noFill/>
        </a:ln>
        <a:effectLst/>
      </c:spPr>
    </c:title>
    <c:autoTitleDeleted val="0"/>
    <c:plotArea>
      <c:layout>
        <c:manualLayout>
          <c:layoutTarget val="inner"/>
          <c:xMode val="edge"/>
          <c:yMode val="edge"/>
          <c:x val="0.106391111111111"/>
          <c:y val="0.114121349130254"/>
          <c:w val="0.830592416406816"/>
          <c:h val="0.78006393303252"/>
        </c:manualLayout>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Sheet5!$A$4:$A$17</c:f>
              <c:strCache>
                <c:ptCount val="13"/>
                <c:pt idx="0">
                  <c:v>33</c:v>
                </c:pt>
                <c:pt idx="1">
                  <c:v>34</c:v>
                </c:pt>
                <c:pt idx="2">
                  <c:v>35</c:v>
                </c:pt>
                <c:pt idx="3">
                  <c:v>36</c:v>
                </c:pt>
                <c:pt idx="4">
                  <c:v>37</c:v>
                </c:pt>
                <c:pt idx="5">
                  <c:v>38</c:v>
                </c:pt>
                <c:pt idx="6">
                  <c:v>39</c:v>
                </c:pt>
                <c:pt idx="7">
                  <c:v>40</c:v>
                </c:pt>
                <c:pt idx="8">
                  <c:v>41</c:v>
                </c:pt>
                <c:pt idx="9">
                  <c:v>42</c:v>
                </c:pt>
                <c:pt idx="10">
                  <c:v>43</c:v>
                </c:pt>
                <c:pt idx="11">
                  <c:v>44</c:v>
                </c:pt>
                <c:pt idx="12">
                  <c:v>45</c:v>
                </c:pt>
              </c:strCache>
            </c:strRef>
          </c:cat>
          <c:val>
            <c:numRef>
              <c:f>Sheet5!$B$4:$B$17</c:f>
              <c:numCache>
                <c:formatCode>General</c:formatCode>
                <c:ptCount val="13"/>
                <c:pt idx="0">
                  <c:v>30.5</c:v>
                </c:pt>
                <c:pt idx="1">
                  <c:v>32.5</c:v>
                </c:pt>
                <c:pt idx="2">
                  <c:v>35</c:v>
                </c:pt>
                <c:pt idx="3">
                  <c:v>36.6666666666667</c:v>
                </c:pt>
                <c:pt idx="4">
                  <c:v>40</c:v>
                </c:pt>
                <c:pt idx="5">
                  <c:v>43.3333333333333</c:v>
                </c:pt>
                <c:pt idx="6">
                  <c:v>45.6666666666667</c:v>
                </c:pt>
                <c:pt idx="7">
                  <c:v>48.5</c:v>
                </c:pt>
                <c:pt idx="8">
                  <c:v>51.3333333333333</c:v>
                </c:pt>
                <c:pt idx="9">
                  <c:v>52.5</c:v>
                </c:pt>
                <c:pt idx="10">
                  <c:v>55.5</c:v>
                </c:pt>
                <c:pt idx="11">
                  <c:v>55.5</c:v>
                </c:pt>
                <c:pt idx="12">
                  <c:v>58</c:v>
                </c:pt>
              </c:numCache>
            </c:numRef>
          </c:val>
          <c:smooth val="0"/>
        </c:ser>
        <c:dLbls>
          <c:showLegendKey val="0"/>
          <c:showVal val="1"/>
          <c:showCatName val="0"/>
          <c:showSerName val="0"/>
          <c:showPercent val="0"/>
          <c:showBubbleSize val="0"/>
        </c:dLbls>
        <c:marker val="0"/>
        <c:smooth val="0"/>
        <c:axId val="20851311"/>
        <c:axId val="20849391"/>
      </c:lineChart>
      <c:catAx>
        <c:axId val="2085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0849391"/>
        <c:crosses val="autoZero"/>
        <c:auto val="1"/>
        <c:lblAlgn val="ctr"/>
        <c:lblOffset val="100"/>
        <c:noMultiLvlLbl val="0"/>
      </c:catAx>
      <c:valAx>
        <c:axId val="20849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0851311"/>
        <c:crosses val="autoZero"/>
        <c:crossBetween val="between"/>
      </c:valAx>
      <c:spPr>
        <a:noFill/>
        <a:ln>
          <a:noFill/>
        </a:ln>
        <a:effectLst/>
      </c:spPr>
    </c:plotArea>
    <c:plotVisOnly val="1"/>
    <c:dispBlanksAs val="gap"/>
    <c:showDLblsOverMax val="0"/>
    <c:extLst>
      <c:ext uri="{0b15fc19-7d7d-44ad-8c2d-2c3a37ce22c3}">
        <chartProps xmlns="https://web.wps.cn/et/2018/main" chartId="{9018606c-654f-4bb7-8996-416707059c25}"/>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_Battery_Data.xlsx]Sheet6!PivotTable7</c:name>
    <c:fmtId val="3"/>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a:t>App Usage</a:t>
            </a:r>
            <a:r>
              <a:rPr lang="en-IN" baseline="0"/>
              <a:t> Distribution</a:t>
            </a:r>
            <a:endParaRPr lang="en-IN"/>
          </a:p>
        </c:rich>
      </c:tx>
      <c:layout/>
      <c:overlay val="0"/>
      <c:spPr>
        <a:noFill/>
        <a:ln>
          <a:noFill/>
        </a:ln>
        <a:effectLst/>
      </c:spPr>
    </c:title>
    <c:autoTitleDeleted val="0"/>
    <c:plotArea>
      <c:layout>
        <c:manualLayout>
          <c:layoutTarget val="inner"/>
          <c:xMode val="edge"/>
          <c:yMode val="edge"/>
          <c:x val="0.208009426046534"/>
          <c:y val="0.247311075295208"/>
          <c:w val="0.582204599573299"/>
          <c:h val="0.597305217063676"/>
        </c:manualLayout>
      </c:layout>
      <c:pieChart>
        <c:varyColors val="1"/>
        <c:ser>
          <c:idx val="0"/>
          <c:order val="0"/>
          <c:tx>
            <c:strRef>
              <c:f>Sheet6!$B$3</c:f>
              <c:strCache>
                <c:ptCount val="1"/>
                <c:pt idx="0">
                  <c:v>Total</c:v>
                </c:pt>
              </c:strCache>
            </c:strRef>
          </c:tx>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bestFit"/>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Sheet6!$A$4:$A$8</c:f>
              <c:strCache>
                <c:ptCount val="4"/>
                <c:pt idx="0">
                  <c:v>BGMI</c:v>
                </c:pt>
                <c:pt idx="1">
                  <c:v>Instagram</c:v>
                </c:pt>
                <c:pt idx="2">
                  <c:v>WhatsApp</c:v>
                </c:pt>
                <c:pt idx="3">
                  <c:v>YouTube</c:v>
                </c:pt>
              </c:strCache>
            </c:strRef>
          </c:cat>
          <c:val>
            <c:numRef>
              <c:f>Sheet6!$B$4:$B$8</c:f>
              <c:numCache>
                <c:formatCode>General</c:formatCode>
                <c:ptCount val="4"/>
                <c:pt idx="0">
                  <c:v>16.8</c:v>
                </c:pt>
                <c:pt idx="1">
                  <c:v>20</c:v>
                </c:pt>
                <c:pt idx="2">
                  <c:v>8.7</c:v>
                </c:pt>
                <c:pt idx="3">
                  <c:v>21.7</c:v>
                </c:pt>
              </c:numCache>
            </c:numRef>
          </c:val>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uri="{0b15fc19-7d7d-44ad-8c2d-2c3a37ce22c3}">
        <chartProps xmlns="https://web.wps.cn/et/2018/main" chartId="{ced73203-37f4-476e-87ff-cdf01147adcd}"/>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_Battery_Data.xlsx]Sheet4!PivotTable5</c:name>
    <c:fmtId val="11"/>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Average</a:t>
            </a:r>
            <a:r>
              <a:rPr lang="en-US" baseline="0"/>
              <a:t> Screen Time-</a:t>
            </a:r>
            <a:r>
              <a:rPr lang="en-US"/>
              <a:t>Weekday vs  Weekend</a:t>
            </a:r>
            <a:endParaRPr lang="en-US"/>
          </a:p>
        </c:rich>
      </c:tx>
      <c:layout>
        <c:manualLayout>
          <c:xMode val="edge"/>
          <c:yMode val="edge"/>
          <c:x val="0.864074112404933"/>
          <c:y val="0.0340731144048786"/>
        </c:manualLayout>
      </c:layout>
      <c:overlay val="0"/>
      <c:spPr>
        <a:noFill/>
        <a:ln>
          <a:noFill/>
        </a:ln>
        <a:effectLst/>
      </c:spPr>
    </c:title>
    <c:autoTitleDeleted val="0"/>
    <c:plotArea>
      <c:layout>
        <c:manualLayout>
          <c:layoutTarget val="inner"/>
          <c:xMode val="edge"/>
          <c:yMode val="edge"/>
          <c:x val="0.100295960378587"/>
          <c:y val="0.316160998869246"/>
          <c:w val="0.896474628171479"/>
          <c:h val="0.59732644390692"/>
        </c:manualLayout>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Sheet4!$A$4:$A$6</c:f>
              <c:strCache>
                <c:ptCount val="2"/>
                <c:pt idx="0">
                  <c:v>Weekday</c:v>
                </c:pt>
                <c:pt idx="1">
                  <c:v>Weekend</c:v>
                </c:pt>
              </c:strCache>
            </c:strRef>
          </c:cat>
          <c:val>
            <c:numRef>
              <c:f>Sheet4!$B$4:$B$6</c:f>
              <c:numCache>
                <c:formatCode>General</c:formatCode>
                <c:ptCount val="2"/>
                <c:pt idx="0">
                  <c:v>5.44545454545455</c:v>
                </c:pt>
                <c:pt idx="1">
                  <c:v>5.05</c:v>
                </c:pt>
              </c:numCache>
            </c:numRef>
          </c:val>
        </c:ser>
        <c:dLbls>
          <c:showLegendKey val="0"/>
          <c:showVal val="1"/>
          <c:showCatName val="0"/>
          <c:showSerName val="0"/>
          <c:showPercent val="0"/>
          <c:showBubbleSize val="0"/>
        </c:dLbls>
        <c:gapWidth val="219"/>
        <c:overlap val="-27"/>
        <c:axId val="2045389295"/>
        <c:axId val="2045390735"/>
      </c:barChart>
      <c:catAx>
        <c:axId val="204538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045390735"/>
        <c:crosses val="autoZero"/>
        <c:auto val="1"/>
        <c:lblAlgn val="ctr"/>
        <c:lblOffset val="100"/>
        <c:noMultiLvlLbl val="0"/>
      </c:catAx>
      <c:valAx>
        <c:axId val="2045390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045389295"/>
        <c:crosses val="autoZero"/>
        <c:crossBetween val="between"/>
      </c:valAx>
      <c:spPr>
        <a:noFill/>
        <a:ln>
          <a:noFill/>
        </a:ln>
        <a:effectLst/>
      </c:spPr>
    </c:plotArea>
    <c:plotVisOnly val="1"/>
    <c:dispBlanksAs val="gap"/>
    <c:showDLblsOverMax val="0"/>
    <c:extLst>
      <c:ext uri="{0b15fc19-7d7d-44ad-8c2d-2c3a37ce22c3}">
        <chartProps xmlns="https://web.wps.cn/et/2018/main" chartId="{4cf605df-414a-47dc-97a4-df54ceec63ef}"/>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cap="none" spc="0" normalizeH="0" baseline="0">
                <a:solidFill>
                  <a:schemeClr val="dk1">
                    <a:lumMod val="50000"/>
                    <a:lumOff val="50000"/>
                  </a:schemeClr>
                </a:solidFill>
                <a:latin typeface="+mj-lt"/>
                <a:ea typeface="+mj-ea"/>
                <a:cs typeface="+mj-cs"/>
              </a:defRPr>
            </a:pPr>
            <a:r>
              <a:rPr lang="en-IN"/>
              <a:t>Battery</a:t>
            </a:r>
            <a:r>
              <a:rPr lang="en-IN" baseline="0"/>
              <a:t> Health Over 30 Days</a:t>
            </a:r>
            <a:endParaRPr lang="en-IN" baseline="0"/>
          </a:p>
          <a:p>
            <a:pPr>
              <a:defRPr lang="en-US" sz="1600" b="1" i="0" u="none" strike="noStrike" kern="1200" cap="none" spc="0" normalizeH="0" baseline="0">
                <a:solidFill>
                  <a:schemeClr val="dk1">
                    <a:lumMod val="50000"/>
                    <a:lumOff val="50000"/>
                  </a:schemeClr>
                </a:solidFill>
                <a:latin typeface="+mj-lt"/>
                <a:ea typeface="+mj-ea"/>
                <a:cs typeface="+mj-cs"/>
              </a:defRPr>
            </a:pPr>
            <a:endParaRPr lang="en-IN"/>
          </a:p>
        </c:rich>
      </c:tx>
      <c:layout/>
      <c:overlay val="0"/>
      <c:spPr>
        <a:noFill/>
        <a:ln>
          <a:noFill/>
        </a:ln>
        <a:effectLst/>
      </c:spPr>
    </c:title>
    <c:autoTitleDeleted val="0"/>
    <c:plotArea>
      <c:layout/>
      <c:lineChart>
        <c:grouping val="standard"/>
        <c:varyColors val="0"/>
        <c:ser>
          <c:idx val="0"/>
          <c:order val="0"/>
          <c:spPr>
            <a:ln w="22225" cap="rnd">
              <a:solidFill>
                <a:schemeClr val="accent1"/>
              </a:solidFill>
              <a:round/>
            </a:ln>
            <a:effectLst/>
          </c:spPr>
          <c:marker>
            <c:symbol val="none"/>
          </c:marker>
          <c:dLbls>
            <c:delete val="1"/>
          </c:dLbls>
          <c:cat>
            <c:numRef>
              <c:f>Sheet1!$A$2:$A$31</c:f>
              <c:numCache>
                <c:formatCode>dd/mm/yyyy</c:formatCode>
                <c:ptCount val="30"/>
                <c:pt idx="0" c:formatCode="dd/mm/yyyy">
                  <c:v>45658</c:v>
                </c:pt>
                <c:pt idx="1" c:formatCode="dd/mm/yyyy">
                  <c:v>45659</c:v>
                </c:pt>
                <c:pt idx="2" c:formatCode="dd/mm/yyyy">
                  <c:v>45660</c:v>
                </c:pt>
                <c:pt idx="3" c:formatCode="dd/mm/yyyy">
                  <c:v>45661</c:v>
                </c:pt>
                <c:pt idx="4" c:formatCode="dd/mm/yyyy">
                  <c:v>45662</c:v>
                </c:pt>
                <c:pt idx="5" c:formatCode="dd/mm/yyyy">
                  <c:v>45663</c:v>
                </c:pt>
                <c:pt idx="6" c:formatCode="dd/mm/yyyy">
                  <c:v>45664</c:v>
                </c:pt>
                <c:pt idx="7" c:formatCode="dd/mm/yyyy">
                  <c:v>45665</c:v>
                </c:pt>
                <c:pt idx="8" c:formatCode="dd/mm/yyyy">
                  <c:v>45666</c:v>
                </c:pt>
                <c:pt idx="9" c:formatCode="dd/mm/yyyy">
                  <c:v>45667</c:v>
                </c:pt>
                <c:pt idx="10" c:formatCode="dd/mm/yyyy">
                  <c:v>45668</c:v>
                </c:pt>
                <c:pt idx="11" c:formatCode="dd/mm/yyyy">
                  <c:v>45669</c:v>
                </c:pt>
                <c:pt idx="12" c:formatCode="dd/mm/yyyy">
                  <c:v>45670</c:v>
                </c:pt>
                <c:pt idx="13" c:formatCode="dd/mm/yyyy">
                  <c:v>45671</c:v>
                </c:pt>
                <c:pt idx="14" c:formatCode="dd/mm/yyyy">
                  <c:v>45672</c:v>
                </c:pt>
                <c:pt idx="15" c:formatCode="dd/mm/yyyy">
                  <c:v>45673</c:v>
                </c:pt>
                <c:pt idx="16" c:formatCode="dd/mm/yyyy">
                  <c:v>45674</c:v>
                </c:pt>
                <c:pt idx="17" c:formatCode="dd/mm/yyyy">
                  <c:v>45675</c:v>
                </c:pt>
                <c:pt idx="18" c:formatCode="dd/mm/yyyy">
                  <c:v>45676</c:v>
                </c:pt>
                <c:pt idx="19" c:formatCode="dd/mm/yyyy">
                  <c:v>45677</c:v>
                </c:pt>
                <c:pt idx="20" c:formatCode="dd/mm/yyyy">
                  <c:v>45678</c:v>
                </c:pt>
                <c:pt idx="21" c:formatCode="dd/mm/yyyy">
                  <c:v>45679</c:v>
                </c:pt>
                <c:pt idx="22" c:formatCode="dd/mm/yyyy">
                  <c:v>45680</c:v>
                </c:pt>
                <c:pt idx="23" c:formatCode="dd/mm/yyyy">
                  <c:v>45681</c:v>
                </c:pt>
                <c:pt idx="24" c:formatCode="dd/mm/yyyy">
                  <c:v>45682</c:v>
                </c:pt>
                <c:pt idx="25" c:formatCode="dd/mm/yyyy">
                  <c:v>45683</c:v>
                </c:pt>
                <c:pt idx="26" c:formatCode="dd/mm/yyyy">
                  <c:v>45684</c:v>
                </c:pt>
                <c:pt idx="27" c:formatCode="dd/mm/yyyy">
                  <c:v>45685</c:v>
                </c:pt>
                <c:pt idx="28" c:formatCode="dd/mm/yyyy">
                  <c:v>45686</c:v>
                </c:pt>
                <c:pt idx="29" c:formatCode="dd/mm/yyyy">
                  <c:v>45687</c:v>
                </c:pt>
              </c:numCache>
            </c:numRef>
          </c:cat>
          <c:val>
            <c:numRef>
              <c:f>Sheet1!$L$2</c:f>
              <c:numCache>
                <c:formatCode>General</c:formatCode>
                <c:ptCount val="1"/>
                <c:pt idx="0">
                  <c:v>100</c:v>
                </c:pt>
              </c:numCache>
            </c:numRef>
          </c:val>
          <c:smooth val="0"/>
        </c:ser>
        <c:ser>
          <c:idx val="1"/>
          <c:order val="1"/>
          <c:tx>
            <c:strRef>
              <c:f>Sheet1!$L:$L</c:f>
              <c:strCache>
                <c:ptCount val="1"/>
                <c:pt idx="0">
                  <c:v>Battery_Health 100 100 100 99 99 99 99 98 98 98 98 97 97 97 96 96 96 95 95 95 95 94 94 94 93 93 93 92 92 92</c:v>
                </c:pt>
              </c:strCache>
            </c:strRef>
          </c:tx>
          <c:spPr>
            <a:ln w="22225" cap="rnd">
              <a:solidFill>
                <a:schemeClr val="accent2"/>
              </a:solidFill>
              <a:round/>
            </a:ln>
            <a:effectLst/>
          </c:spPr>
          <c:marker>
            <c:symbol val="none"/>
          </c:marker>
          <c:dLbls>
            <c:delete val="1"/>
          </c:dLbls>
          <c:cat>
            <c:numRef>
              <c:f>Sheet1!$A$2:$A$31</c:f>
              <c:numCache>
                <c:formatCode>dd/mm/yyyy</c:formatCode>
                <c:ptCount val="30"/>
                <c:pt idx="0" c:formatCode="dd/mm/yyyy">
                  <c:v>45658</c:v>
                </c:pt>
                <c:pt idx="1" c:formatCode="dd/mm/yyyy">
                  <c:v>45659</c:v>
                </c:pt>
                <c:pt idx="2" c:formatCode="dd/mm/yyyy">
                  <c:v>45660</c:v>
                </c:pt>
                <c:pt idx="3" c:formatCode="dd/mm/yyyy">
                  <c:v>45661</c:v>
                </c:pt>
                <c:pt idx="4" c:formatCode="dd/mm/yyyy">
                  <c:v>45662</c:v>
                </c:pt>
                <c:pt idx="5" c:formatCode="dd/mm/yyyy">
                  <c:v>45663</c:v>
                </c:pt>
                <c:pt idx="6" c:formatCode="dd/mm/yyyy">
                  <c:v>45664</c:v>
                </c:pt>
                <c:pt idx="7" c:formatCode="dd/mm/yyyy">
                  <c:v>45665</c:v>
                </c:pt>
                <c:pt idx="8" c:formatCode="dd/mm/yyyy">
                  <c:v>45666</c:v>
                </c:pt>
                <c:pt idx="9" c:formatCode="dd/mm/yyyy">
                  <c:v>45667</c:v>
                </c:pt>
                <c:pt idx="10" c:formatCode="dd/mm/yyyy">
                  <c:v>45668</c:v>
                </c:pt>
                <c:pt idx="11" c:formatCode="dd/mm/yyyy">
                  <c:v>45669</c:v>
                </c:pt>
                <c:pt idx="12" c:formatCode="dd/mm/yyyy">
                  <c:v>45670</c:v>
                </c:pt>
                <c:pt idx="13" c:formatCode="dd/mm/yyyy">
                  <c:v>45671</c:v>
                </c:pt>
                <c:pt idx="14" c:formatCode="dd/mm/yyyy">
                  <c:v>45672</c:v>
                </c:pt>
                <c:pt idx="15" c:formatCode="dd/mm/yyyy">
                  <c:v>45673</c:v>
                </c:pt>
                <c:pt idx="16" c:formatCode="dd/mm/yyyy">
                  <c:v>45674</c:v>
                </c:pt>
                <c:pt idx="17" c:formatCode="dd/mm/yyyy">
                  <c:v>45675</c:v>
                </c:pt>
                <c:pt idx="18" c:formatCode="dd/mm/yyyy">
                  <c:v>45676</c:v>
                </c:pt>
                <c:pt idx="19" c:formatCode="dd/mm/yyyy">
                  <c:v>45677</c:v>
                </c:pt>
                <c:pt idx="20" c:formatCode="dd/mm/yyyy">
                  <c:v>45678</c:v>
                </c:pt>
                <c:pt idx="21" c:formatCode="dd/mm/yyyy">
                  <c:v>45679</c:v>
                </c:pt>
                <c:pt idx="22" c:formatCode="dd/mm/yyyy">
                  <c:v>45680</c:v>
                </c:pt>
                <c:pt idx="23" c:formatCode="dd/mm/yyyy">
                  <c:v>45681</c:v>
                </c:pt>
                <c:pt idx="24" c:formatCode="dd/mm/yyyy">
                  <c:v>45682</c:v>
                </c:pt>
                <c:pt idx="25" c:formatCode="dd/mm/yyyy">
                  <c:v>45683</c:v>
                </c:pt>
                <c:pt idx="26" c:formatCode="dd/mm/yyyy">
                  <c:v>45684</c:v>
                </c:pt>
                <c:pt idx="27" c:formatCode="dd/mm/yyyy">
                  <c:v>45685</c:v>
                </c:pt>
                <c:pt idx="28" c:formatCode="dd/mm/yyyy">
                  <c:v>45686</c:v>
                </c:pt>
                <c:pt idx="29" c:formatCode="dd/mm/yyyy">
                  <c:v>45687</c:v>
                </c:pt>
              </c:numCache>
            </c:numRef>
          </c:cat>
          <c:val>
            <c:numRef>
              <c:f>Sheet1!$L$2:$L$31</c:f>
              <c:numCache>
                <c:formatCode>General</c:formatCode>
                <c:ptCount val="30"/>
                <c:pt idx="0">
                  <c:v>100</c:v>
                </c:pt>
                <c:pt idx="1">
                  <c:v>100</c:v>
                </c:pt>
                <c:pt idx="2">
                  <c:v>100</c:v>
                </c:pt>
                <c:pt idx="3">
                  <c:v>99</c:v>
                </c:pt>
                <c:pt idx="4">
                  <c:v>99</c:v>
                </c:pt>
                <c:pt idx="5">
                  <c:v>99</c:v>
                </c:pt>
                <c:pt idx="6">
                  <c:v>99</c:v>
                </c:pt>
                <c:pt idx="7">
                  <c:v>98</c:v>
                </c:pt>
                <c:pt idx="8">
                  <c:v>98</c:v>
                </c:pt>
                <c:pt idx="9">
                  <c:v>98</c:v>
                </c:pt>
                <c:pt idx="10">
                  <c:v>98</c:v>
                </c:pt>
                <c:pt idx="11">
                  <c:v>97</c:v>
                </c:pt>
                <c:pt idx="12">
                  <c:v>97</c:v>
                </c:pt>
                <c:pt idx="13">
                  <c:v>97</c:v>
                </c:pt>
                <c:pt idx="14">
                  <c:v>96</c:v>
                </c:pt>
                <c:pt idx="15">
                  <c:v>96</c:v>
                </c:pt>
                <c:pt idx="16">
                  <c:v>96</c:v>
                </c:pt>
                <c:pt idx="17">
                  <c:v>95</c:v>
                </c:pt>
                <c:pt idx="18">
                  <c:v>95</c:v>
                </c:pt>
                <c:pt idx="19">
                  <c:v>95</c:v>
                </c:pt>
                <c:pt idx="20">
                  <c:v>95</c:v>
                </c:pt>
                <c:pt idx="21">
                  <c:v>94</c:v>
                </c:pt>
                <c:pt idx="22">
                  <c:v>94</c:v>
                </c:pt>
                <c:pt idx="23">
                  <c:v>94</c:v>
                </c:pt>
                <c:pt idx="24">
                  <c:v>93</c:v>
                </c:pt>
                <c:pt idx="25">
                  <c:v>93</c:v>
                </c:pt>
                <c:pt idx="26">
                  <c:v>93</c:v>
                </c:pt>
                <c:pt idx="27">
                  <c:v>92</c:v>
                </c:pt>
                <c:pt idx="28">
                  <c:v>92</c:v>
                </c:pt>
                <c:pt idx="29">
                  <c:v>92</c:v>
                </c:pt>
              </c:numCache>
            </c:numRef>
          </c:val>
          <c:smooth val="0"/>
        </c:ser>
        <c:dLbls>
          <c:showLegendKey val="0"/>
          <c:showVal val="0"/>
          <c:showCatName val="0"/>
          <c:showSerName val="0"/>
          <c:showPercent val="0"/>
          <c:showBubbleSize val="0"/>
        </c:dLbls>
        <c:marker val="0"/>
        <c:smooth val="0"/>
        <c:axId val="78300191"/>
        <c:axId val="78298271"/>
      </c:lineChart>
      <c:dateAx>
        <c:axId val="78300191"/>
        <c:scaling>
          <c:orientation val="minMax"/>
        </c:scaling>
        <c:delete val="0"/>
        <c:axPos val="b"/>
        <c:numFmt formatCode="m\/d\/yyyy"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en-US" sz="900" b="0" i="0" u="none" strike="noStrike" kern="1200" cap="none" spc="0" normalizeH="0" baseline="0">
                <a:solidFill>
                  <a:schemeClr val="dk1">
                    <a:lumMod val="65000"/>
                    <a:lumOff val="35000"/>
                  </a:schemeClr>
                </a:solidFill>
                <a:latin typeface="+mn-lt"/>
                <a:ea typeface="+mn-ea"/>
                <a:cs typeface="+mn-cs"/>
              </a:defRPr>
            </a:pPr>
          </a:p>
        </c:txPr>
        <c:crossAx val="78298271"/>
        <c:crosses val="autoZero"/>
        <c:auto val="1"/>
        <c:lblOffset val="100"/>
        <c:baseTimeUnit val="days"/>
      </c:dateAx>
      <c:valAx>
        <c:axId val="78298271"/>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78300191"/>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uri="{0b15fc19-7d7d-44ad-8c2d-2c3a37ce22c3}">
        <chartProps xmlns="https://web.wps.cn/et/2018/main" chartId="{161f83a0-8a77-435a-b90b-d8492a90aba2}"/>
      </c:ext>
    </c:extLst>
  </c:chart>
  <c:spPr>
    <a:solidFill>
      <a:schemeClr val="lt1"/>
    </a:solidFill>
    <a:ln w="9525" cap="flat" cmpd="sng" algn="ctr">
      <a:solidFill>
        <a:schemeClr val="dk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824040</xdr:colOff>
      <xdr:row>6</xdr:row>
      <xdr:rowOff>16579</xdr:rowOff>
    </xdr:from>
    <xdr:to>
      <xdr:col>9</xdr:col>
      <xdr:colOff>269326</xdr:colOff>
      <xdr:row>17</xdr:row>
      <xdr:rowOff>180864</xdr:rowOff>
    </xdr:to>
    <xdr:graphicFrame>
      <xdr:nvGraphicFramePr>
        <xdr:cNvPr id="2" name="Chart 1"/>
        <xdr:cNvGraphicFramePr/>
      </xdr:nvGraphicFramePr>
      <xdr:xfrm>
        <a:off x="4572635" y="1395730"/>
        <a:ext cx="3644265" cy="217551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710073</xdr:colOff>
      <xdr:row>6</xdr:row>
      <xdr:rowOff>16579</xdr:rowOff>
    </xdr:from>
    <xdr:to>
      <xdr:col>3</xdr:col>
      <xdr:colOff>563573</xdr:colOff>
      <xdr:row>17</xdr:row>
      <xdr:rowOff>180864</xdr:rowOff>
    </xdr:to>
    <xdr:graphicFrame>
      <xdr:nvGraphicFramePr>
        <xdr:cNvPr id="4" name="Chart 3"/>
        <xdr:cNvGraphicFramePr/>
      </xdr:nvGraphicFramePr>
      <xdr:xfrm>
        <a:off x="709930" y="1395730"/>
        <a:ext cx="3602355" cy="217551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529793</xdr:colOff>
      <xdr:row>6</xdr:row>
      <xdr:rowOff>16579</xdr:rowOff>
    </xdr:from>
    <xdr:to>
      <xdr:col>15</xdr:col>
      <xdr:colOff>483078</xdr:colOff>
      <xdr:row>17</xdr:row>
      <xdr:rowOff>180864</xdr:rowOff>
    </xdr:to>
    <xdr:graphicFrame>
      <xdr:nvGraphicFramePr>
        <xdr:cNvPr id="5" name="Chart 4"/>
        <xdr:cNvGraphicFramePr/>
      </xdr:nvGraphicFramePr>
      <xdr:xfrm>
        <a:off x="8477250" y="1395730"/>
        <a:ext cx="3656330" cy="217551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135759</xdr:colOff>
      <xdr:row>6</xdr:row>
      <xdr:rowOff>16579</xdr:rowOff>
    </xdr:from>
    <xdr:to>
      <xdr:col>22</xdr:col>
      <xdr:colOff>89044</xdr:colOff>
      <xdr:row>17</xdr:row>
      <xdr:rowOff>180864</xdr:rowOff>
    </xdr:to>
    <xdr:graphicFrame>
      <xdr:nvGraphicFramePr>
        <xdr:cNvPr id="7" name="Chart 6"/>
        <xdr:cNvGraphicFramePr/>
      </xdr:nvGraphicFramePr>
      <xdr:xfrm>
        <a:off x="12403455" y="1395730"/>
        <a:ext cx="3656965" cy="217551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4</xdr:col>
      <xdr:colOff>716280</xdr:colOff>
      <xdr:row>6</xdr:row>
      <xdr:rowOff>41910</xdr:rowOff>
    </xdr:from>
    <xdr:to>
      <xdr:col>8</xdr:col>
      <xdr:colOff>533400</xdr:colOff>
      <xdr:row>21</xdr:row>
      <xdr:rowOff>41910</xdr:rowOff>
    </xdr:to>
    <xdr:graphicFrame>
      <xdr:nvGraphicFramePr>
        <xdr:cNvPr id="2" name="Chart 1"/>
        <xdr:cNvGraphicFramePr/>
      </xdr:nvGraphicFramePr>
      <xdr:xfrm>
        <a:off x="4800600" y="1322070"/>
        <a:ext cx="4572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8" refreshedVersion="8" minRefreshableVersion="3" refreshedDate="45976.916734838" refreshedBy="Vamshi" recordCount="30">
  <cacheSource type="worksheet">
    <worksheetSource name="Table1"/>
  </cacheSource>
  <cacheFields count="15">
    <cacheField name="Date" numFmtId="180"/>
    <cacheField name="Screen_Time_Hrs" numFmtId="0"/>
    <cacheField name="Battery_Start_%" numFmtId="0"/>
    <cacheField name="Battery_End_%" numFmtId="0"/>
    <cacheField name="Battery_Drain_%" numFmtId="0"/>
    <cacheField name="Charging_Sessions" numFmtId="0"/>
    <cacheField name="Max_Temperature_C" numFmtId="0">
      <sharedItems containsSemiMixedTypes="0" containsString="0" containsNumber="1" containsInteger="1" minValue="0" maxValue="45" count="13">
        <n v="36"/>
        <n v="38"/>
        <n v="34"/>
        <n v="41"/>
        <n v="39"/>
        <n v="35"/>
        <n v="43"/>
        <n v="44"/>
        <n v="37"/>
        <n v="40"/>
        <n v="33"/>
        <n v="42"/>
        <n v="45"/>
      </sharedItems>
    </cacheField>
    <cacheField name="Top_App_Used" numFmtId="0">
      <sharedItems count="4">
        <s v="YouTube"/>
        <s v="Instagram"/>
        <s v="WhatsApp"/>
        <s v="BGMI"/>
      </sharedItems>
    </cacheField>
    <cacheField name="App_Usage_Hrs" numFmtId="0"/>
    <cacheField name="Calls_Duration_Min" numFmtId="0"/>
    <cacheField name="Internet_Usage_GB" numFmtId="0"/>
    <cacheField name="Battery_Health" numFmtId="0"/>
    <cacheField name="Battery_Drain_per_Hour" numFmtId="0"/>
    <cacheField name="Day_Type" numFmtId="0">
      <sharedItems count="2">
        <s v="Weekday"/>
        <s v="Weekend"/>
      </sharedItems>
    </cacheField>
    <cacheField name="High_Screen_Time" numFmtId="0"/>
  </cacheFields>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d v="2025-01-01T00:00:00"/>
    <n v="4.2"/>
    <n v="100"/>
    <n v="62"/>
    <n v="38"/>
    <n v="2"/>
    <x v="0"/>
    <x v="0"/>
    <n v="1.8"/>
    <n v="22"/>
    <n v="1.9"/>
    <n v="100"/>
    <n v="9.0476190476190474"/>
    <x v="0"/>
    <s v="No"/>
  </r>
  <r>
    <d v="2025-01-02T00:00:00"/>
    <n v="5"/>
    <n v="100"/>
    <n v="55"/>
    <n v="45"/>
    <n v="2"/>
    <x v="1"/>
    <x v="1"/>
    <n v="2.4"/>
    <n v="15"/>
    <n v="2.1"/>
    <n v="100"/>
    <n v="9"/>
    <x v="0"/>
    <s v="No"/>
  </r>
  <r>
    <d v="2025-01-03T00:00:00"/>
    <n v="3.8"/>
    <n v="100"/>
    <n v="68"/>
    <n v="32"/>
    <n v="1"/>
    <x v="2"/>
    <x v="2"/>
    <n v="1.1000000000000001"/>
    <n v="35"/>
    <n v="1.4"/>
    <n v="100"/>
    <n v="8.4210526315789469"/>
    <x v="0"/>
    <s v="No"/>
  </r>
  <r>
    <d v="2025-01-04T00:00:00"/>
    <n v="6.1"/>
    <n v="100"/>
    <n v="48"/>
    <n v="52"/>
    <n v="3"/>
    <x v="3"/>
    <x v="0"/>
    <n v="2.7"/>
    <n v="28"/>
    <n v="3.2"/>
    <n v="99"/>
    <n v="8.5245901639344268"/>
    <x v="1"/>
    <s v="Yes"/>
  </r>
  <r>
    <d v="2025-01-05T00:00:00"/>
    <n v="5.4"/>
    <n v="100"/>
    <n v="53"/>
    <n v="47"/>
    <n v="2"/>
    <x v="4"/>
    <x v="1"/>
    <n v="2.1"/>
    <n v="18"/>
    <n v="2.4"/>
    <n v="99"/>
    <n v="8.7037037037037024"/>
    <x v="1"/>
    <s v="No"/>
  </r>
  <r>
    <d v="2025-01-06T00:00:00"/>
    <n v="4"/>
    <n v="100"/>
    <n v="66"/>
    <n v="34"/>
    <n v="1"/>
    <x v="5"/>
    <x v="2"/>
    <n v="1.5"/>
    <n v="40"/>
    <n v="1.7"/>
    <n v="99"/>
    <n v="8.5"/>
    <x v="0"/>
    <s v="No"/>
  </r>
  <r>
    <d v="2025-01-07T00:00:00"/>
    <n v="7.2"/>
    <n v="100"/>
    <n v="42"/>
    <n v="58"/>
    <n v="3"/>
    <x v="6"/>
    <x v="3"/>
    <n v="3.4"/>
    <n v="10"/>
    <n v="3.6"/>
    <n v="99"/>
    <n v="8.0555555555555554"/>
    <x v="0"/>
    <s v="Yes"/>
  </r>
  <r>
    <d v="2025-01-08T00:00:00"/>
    <n v="6.8"/>
    <n v="100"/>
    <n v="45"/>
    <n v="55"/>
    <n v="3"/>
    <x v="7"/>
    <x v="0"/>
    <n v="2.9"/>
    <n v="25"/>
    <n v="3.3"/>
    <n v="98"/>
    <n v="8.0882352941176467"/>
    <x v="0"/>
    <s v="Yes"/>
  </r>
  <r>
    <d v="2025-01-09T00:00:00"/>
    <n v="4.5"/>
    <n v="100"/>
    <n v="61"/>
    <n v="39"/>
    <n v="2"/>
    <x v="8"/>
    <x v="1"/>
    <n v="2.2000000000000002"/>
    <n v="12"/>
    <n v="2"/>
    <n v="98"/>
    <n v="8.6666666666666661"/>
    <x v="0"/>
    <s v="No"/>
  </r>
  <r>
    <d v="2025-01-10T00:00:00"/>
    <n v="5.7"/>
    <n v="100"/>
    <n v="52"/>
    <n v="48"/>
    <n v="2"/>
    <x v="9"/>
    <x v="3"/>
    <n v="3"/>
    <n v="18"/>
    <n v="2.8"/>
    <n v="98"/>
    <n v="8.4210526315789469"/>
    <x v="0"/>
    <s v="No"/>
  </r>
  <r>
    <d v="2025-01-11T00:00:00"/>
    <n v="3.5"/>
    <n v="100"/>
    <n v="69"/>
    <n v="31"/>
    <n v="1"/>
    <x v="10"/>
    <x v="2"/>
    <n v="1.2"/>
    <n v="30"/>
    <n v="1.5"/>
    <n v="98"/>
    <n v="8.8571428571428577"/>
    <x v="1"/>
    <s v="No"/>
  </r>
  <r>
    <d v="2025-01-12T00:00:00"/>
    <n v="6"/>
    <n v="100"/>
    <n v="49"/>
    <n v="51"/>
    <n v="3"/>
    <x v="11"/>
    <x v="0"/>
    <n v="2.6"/>
    <n v="20"/>
    <n v="3"/>
    <n v="97"/>
    <n v="8.5"/>
    <x v="1"/>
    <s v="Yes"/>
  </r>
  <r>
    <d v="2025-01-13T00:00:00"/>
    <n v="5.2"/>
    <n v="100"/>
    <n v="56"/>
    <n v="44"/>
    <n v="2"/>
    <x v="4"/>
    <x v="1"/>
    <n v="2"/>
    <n v="14"/>
    <n v="2.2000000000000002"/>
    <n v="97"/>
    <n v="8.4615384615384617"/>
    <x v="0"/>
    <s v="No"/>
  </r>
  <r>
    <d v="2025-01-14T00:00:00"/>
    <n v="4.0999999999999996"/>
    <n v="100"/>
    <n v="65"/>
    <n v="35"/>
    <n v="1"/>
    <x v="0"/>
    <x v="2"/>
    <n v="1.3"/>
    <n v="42"/>
    <n v="1.8"/>
    <n v="97"/>
    <n v="8.536585365853659"/>
    <x v="0"/>
    <s v="No"/>
  </r>
  <r>
    <d v="2025-01-15T00:00:00"/>
    <n v="7.4"/>
    <n v="100"/>
    <n v="41"/>
    <n v="59"/>
    <n v="3"/>
    <x v="12"/>
    <x v="3"/>
    <n v="3.5"/>
    <n v="15"/>
    <n v="3.7"/>
    <n v="96"/>
    <n v="7.9729729729729728"/>
    <x v="0"/>
    <s v="Yes"/>
  </r>
  <r>
    <d v="2025-01-16T00:00:00"/>
    <n v="6.5"/>
    <n v="100"/>
    <n v="47"/>
    <n v="53"/>
    <n v="3"/>
    <x v="6"/>
    <x v="0"/>
    <n v="2.8"/>
    <n v="21"/>
    <n v="3.4"/>
    <n v="96"/>
    <n v="8.1538461538461533"/>
    <x v="0"/>
    <s v="Yes"/>
  </r>
  <r>
    <d v="2025-01-17T00:00:00"/>
    <n v="4.5999999999999996"/>
    <n v="100"/>
    <n v="60"/>
    <n v="40"/>
    <n v="2"/>
    <x v="1"/>
    <x v="1"/>
    <n v="2.1"/>
    <n v="26"/>
    <n v="2.2999999999999998"/>
    <n v="96"/>
    <n v="8.6956521739130448"/>
    <x v="0"/>
    <s v="No"/>
  </r>
  <r>
    <d v="2025-01-18T00:00:00"/>
    <n v="5.8"/>
    <n v="100"/>
    <n v="51"/>
    <n v="49"/>
    <n v="2"/>
    <x v="9"/>
    <x v="0"/>
    <n v="2.4"/>
    <n v="18"/>
    <n v="2.6"/>
    <n v="95"/>
    <n v="8.4482758620689662"/>
    <x v="1"/>
    <s v="No"/>
  </r>
  <r>
    <d v="2025-01-19T00:00:00"/>
    <n v="3.9"/>
    <n v="100"/>
    <n v="67"/>
    <n v="33"/>
    <n v="1"/>
    <x v="2"/>
    <x v="2"/>
    <n v="1.4"/>
    <n v="32"/>
    <n v="1.6"/>
    <n v="95"/>
    <n v="8.4615384615384617"/>
    <x v="1"/>
    <s v="No"/>
  </r>
  <r>
    <d v="2025-01-20T00:00:00"/>
    <n v="6.9"/>
    <n v="100"/>
    <n v="44"/>
    <n v="56"/>
    <n v="3"/>
    <x v="7"/>
    <x v="3"/>
    <n v="3.3"/>
    <n v="13"/>
    <n v="3.2"/>
    <n v="95"/>
    <n v="8.115942028985506"/>
    <x v="0"/>
    <s v="Yes"/>
  </r>
  <r>
    <d v="2025-01-21T00:00:00"/>
    <n v="4.8"/>
    <n v="100"/>
    <n v="59"/>
    <n v="41"/>
    <n v="2"/>
    <x v="8"/>
    <x v="1"/>
    <n v="2"/>
    <n v="20"/>
    <n v="2.1"/>
    <n v="95"/>
    <n v="8.5416666666666679"/>
    <x v="0"/>
    <s v="No"/>
  </r>
  <r>
    <d v="2025-01-22T00:00:00"/>
    <n v="5.9"/>
    <n v="100"/>
    <n v="50"/>
    <n v="50"/>
    <n v="2"/>
    <x v="3"/>
    <x v="0"/>
    <n v="2.5"/>
    <n v="19"/>
    <n v="2.8"/>
    <n v="94"/>
    <n v="8.4745762711864394"/>
    <x v="0"/>
    <s v="No"/>
  </r>
  <r>
    <d v="2025-01-23T00:00:00"/>
    <n v="3.7"/>
    <n v="100"/>
    <n v="70"/>
    <n v="30"/>
    <n v="1"/>
    <x v="10"/>
    <x v="2"/>
    <n v="1"/>
    <n v="28"/>
    <n v="1.3"/>
    <n v="94"/>
    <n v="8.108108108108107"/>
    <x v="0"/>
    <s v="No"/>
  </r>
  <r>
    <d v="2025-01-24T00:00:00"/>
    <n v="6.2"/>
    <n v="100"/>
    <n v="46"/>
    <n v="54"/>
    <n v="3"/>
    <x v="11"/>
    <x v="1"/>
    <n v="2.2999999999999998"/>
    <n v="17"/>
    <n v="2.7"/>
    <n v="94"/>
    <n v="8.7096774193548381"/>
    <x v="0"/>
    <s v="Yes"/>
  </r>
  <r>
    <d v="2025-01-25T00:00:00"/>
    <n v="5.3"/>
    <n v="100"/>
    <n v="54"/>
    <n v="46"/>
    <n v="2"/>
    <x v="4"/>
    <x v="0"/>
    <n v="2.1"/>
    <n v="22"/>
    <n v="2.5"/>
    <n v="93"/>
    <n v="8.6792452830188687"/>
    <x v="1"/>
    <s v="No"/>
  </r>
  <r>
    <d v="2025-01-26T00:00:00"/>
    <n v="4.4000000000000004"/>
    <n v="100"/>
    <n v="63"/>
    <n v="37"/>
    <n v="1"/>
    <x v="0"/>
    <x v="2"/>
    <n v="1.2"/>
    <n v="33"/>
    <n v="1.9"/>
    <n v="93"/>
    <n v="8.4090909090909083"/>
    <x v="1"/>
    <s v="No"/>
  </r>
  <r>
    <d v="2025-01-27T00:00:00"/>
    <n v="7.1"/>
    <n v="100"/>
    <n v="43"/>
    <n v="57"/>
    <n v="3"/>
    <x v="12"/>
    <x v="3"/>
    <n v="3.6"/>
    <n v="14"/>
    <n v="3.5"/>
    <n v="93"/>
    <n v="8.0281690140845079"/>
    <x v="0"/>
    <s v="Yes"/>
  </r>
  <r>
    <d v="2025-01-28T00:00:00"/>
    <n v="6.3"/>
    <n v="100"/>
    <n v="48"/>
    <n v="52"/>
    <n v="2"/>
    <x v="3"/>
    <x v="1"/>
    <n v="2.7"/>
    <n v="21"/>
    <n v="2.9"/>
    <n v="92"/>
    <n v="8.2539682539682548"/>
    <x v="0"/>
    <s v="Yes"/>
  </r>
  <r>
    <d v="2025-01-29T00:00:00"/>
    <n v="4.3"/>
    <n v="100"/>
    <n v="64"/>
    <n v="36"/>
    <n v="1"/>
    <x v="5"/>
    <x v="0"/>
    <n v="1.9"/>
    <n v="27"/>
    <n v="1.8"/>
    <n v="92"/>
    <n v="8.3720930232558146"/>
    <x v="0"/>
    <s v="No"/>
  </r>
  <r>
    <d v="2025-01-30T00:00:00"/>
    <n v="5.6"/>
    <n v="100"/>
    <n v="55"/>
    <n v="45"/>
    <n v="2"/>
    <x v="1"/>
    <x v="1"/>
    <n v="2.2000000000000002"/>
    <n v="24"/>
    <n v="2.4"/>
    <n v="92"/>
    <n v="8.0357142857142865"/>
    <x v="0"/>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location ref="A3:D4" firstHeaderRow="0" firstDataRow="1" firstDataCol="0"/>
  <pivotFields count="15">
    <pivotField numFmtId="180" showAll="0"/>
    <pivotField dataField="1" showAll="0"/>
    <pivotField showAll="0"/>
    <pivotField showAll="0"/>
    <pivotField dataField="1" showAll="0"/>
    <pivotField dataField="1" showAll="0"/>
    <pivotField showAll="0"/>
    <pivotField showAll="0"/>
    <pivotField showAll="0"/>
    <pivotField showAll="0"/>
    <pivotField showAll="0"/>
    <pivotField dataField="1" showAll="0"/>
    <pivotField showAll="0"/>
    <pivotField showAll="0"/>
    <pivotField showAll="0"/>
  </pivotFields>
  <rowItems count="1">
    <i/>
  </rowItems>
  <colFields count="1">
    <field x="-2"/>
  </colFields>
  <colItems count="4">
    <i>
      <x/>
    </i>
    <i i="1">
      <x v="1"/>
    </i>
    <i i="2">
      <x v="2"/>
    </i>
    <i i="3">
      <x v="3"/>
    </i>
  </colItems>
  <dataFields count="4">
    <dataField name="Avg Screen Time Hrs" fld="1" subtotal="average" baseField="0" baseItem="0"/>
    <dataField name="Avg Battery Drain %" fld="4" subtotal="average" baseField="0" baseItem="0"/>
    <dataField name="Avg Charging Sessions" fld="5" subtotal="average" baseField="0" baseItem="0"/>
    <dataField name="Avg Battery Health" fld="11" subtotal="average" baseField="0" baseItem="0"/>
  </dataFields>
  <formats count="9">
    <format dxfId="0">
      <pivotArea type="all" dataOnly="0" outline="0" fieldPosition="0"/>
    </format>
    <format dxfId="1">
      <pivotArea outline="0" collapsedLevelsAreSubtotals="1" fieldPosition="0"/>
    </format>
    <format dxfId="2">
      <pivotArea dataOnly="0" labelOnly="1" outline="0" fieldPosition="0">
        <references count="1">
          <reference field="4294967294" count="4">
            <x v="0"/>
            <x v="1"/>
            <x v="2"/>
            <x v="3"/>
          </reference>
        </references>
      </pivotArea>
    </format>
    <format dxfId="3">
      <pivotArea type="all" dataOnly="0" outline="0" fieldPosition="0"/>
    </format>
    <format dxfId="4">
      <pivotArea outline="0" collapsedLevelsAreSubtotals="1" fieldPosition="0"/>
    </format>
    <format dxfId="5">
      <pivotArea dataOnly="0" labelOnly="1" outline="0" fieldPosition="0">
        <references count="1">
          <reference field="4294967294" count="4">
            <x v="0"/>
            <x v="1"/>
            <x v="2"/>
            <x v="3"/>
          </reference>
        </references>
      </pivotArea>
    </format>
    <format dxfId="6">
      <pivotArea type="all" dataOnly="0" outline="0" fieldPosition="0"/>
    </format>
    <format dxfId="7">
      <pivotArea outline="0" collapsedLevelsAreSubtotals="1" fieldPosition="0"/>
    </format>
    <format dxfId="8">
      <pivotArea dataOnly="0" labelOnly="1" outline="0" fieldPosition="0">
        <references count="1">
          <reference field="4294967294" count="4">
            <x v="0"/>
            <x v="1"/>
            <x v="2"/>
            <x v="3"/>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chartFormat="14">
  <location ref="A3:B8" firstHeaderRow="1" firstDataRow="1" firstDataCol="1"/>
  <pivotFields count="15">
    <pivotField numFmtId="180" showAll="0"/>
    <pivotField showAll="0"/>
    <pivotField showAll="0"/>
    <pivotField showAll="0"/>
    <pivotField dataField="1"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Average of Battery_Drain_%" fld="4" subtotal="average" baseField="7" baseItem="3"/>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chartFormat="13">
  <location ref="A3:B6" firstHeaderRow="1" firstDataRow="1" firstDataCol="1"/>
  <pivotFields count="15">
    <pivotField numFmtId="180"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s>
  <rowFields count="1">
    <field x="13"/>
  </rowFields>
  <rowItems count="3">
    <i>
      <x/>
    </i>
    <i>
      <x v="1"/>
    </i>
    <i t="grand">
      <x/>
    </i>
  </rowItems>
  <colItems count="1">
    <i/>
  </colItems>
  <dataFields count="1">
    <dataField name="Average of Screen_Time_Hrs" fld="1" subtotal="average" baseField="13"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chartFormat="6">
  <location ref="A3:B17" firstHeaderRow="1" firstDataRow="1" firstDataCol="1"/>
  <pivotFields count="15">
    <pivotField numFmtId="180" showAll="0"/>
    <pivotField showAll="0"/>
    <pivotField showAll="0"/>
    <pivotField showAll="0"/>
    <pivotField dataField="1" showAll="0"/>
    <pivotField showAll="0"/>
    <pivotField axis="axisRow" showAll="0">
      <items count="14">
        <item x="10"/>
        <item x="2"/>
        <item x="5"/>
        <item x="0"/>
        <item x="8"/>
        <item x="1"/>
        <item x="4"/>
        <item x="9"/>
        <item x="3"/>
        <item x="11"/>
        <item x="6"/>
        <item x="7"/>
        <item x="12"/>
        <item t="default"/>
      </items>
    </pivotField>
    <pivotField showAll="0"/>
    <pivotField showAll="0"/>
    <pivotField showAll="0"/>
    <pivotField showAll="0"/>
    <pivotField showAll="0"/>
    <pivotField showAll="0"/>
    <pivotField showAll="0"/>
    <pivotField showAll="0"/>
  </pivotFields>
  <rowFields count="1">
    <field x="6"/>
  </rowFields>
  <rowItems count="14">
    <i>
      <x/>
    </i>
    <i>
      <x v="1"/>
    </i>
    <i>
      <x v="2"/>
    </i>
    <i>
      <x v="3"/>
    </i>
    <i>
      <x v="4"/>
    </i>
    <i>
      <x v="5"/>
    </i>
    <i>
      <x v="6"/>
    </i>
    <i>
      <x v="7"/>
    </i>
    <i>
      <x v="8"/>
    </i>
    <i>
      <x v="9"/>
    </i>
    <i>
      <x v="10"/>
    </i>
    <i>
      <x v="11"/>
    </i>
    <i>
      <x v="12"/>
    </i>
    <i t="grand">
      <x/>
    </i>
  </rowItems>
  <colItems count="1">
    <i/>
  </colItems>
  <dataFields count="1">
    <dataField name="Average of Battery_Drain_%" fld="4" subtotal="average" baseField="6"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0"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chartFormat="4">
  <location ref="A3:B8" firstHeaderRow="1" firstDataRow="1" firstDataCol="1"/>
  <pivotFields count="15">
    <pivotField numFmtId="180" showAll="0"/>
    <pivotField showAll="0"/>
    <pivotField showAll="0"/>
    <pivotField showAll="0"/>
    <pivotField showAll="0"/>
    <pivotField showAll="0"/>
    <pivotField showAll="0"/>
    <pivotField axis="axisRow" showAll="0">
      <items count="5">
        <item x="3"/>
        <item x="1"/>
        <item x="2"/>
        <item x="0"/>
        <item t="default"/>
      </items>
    </pivotField>
    <pivotField dataField="1" showAll="0"/>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Sum of App_Usage_Hrs" fld="8" baseField="7"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A1:O31" totalsRowShown="0">
  <autoFilter xmlns:etc="http://www.wps.cn/officeDocument/2017/etCustomData" ref="A1:O31" etc:filterBottomFollowUsedRange="0"/>
  <tableColumns count="15">
    <tableColumn id="1" name="Date" dataDxfId="9"/>
    <tableColumn id="2" name="Screen_Time_Hrs" dataDxfId="10"/>
    <tableColumn id="3" name="Battery_Start_%" dataDxfId="11"/>
    <tableColumn id="4" name="Battery_End_%" dataDxfId="12"/>
    <tableColumn id="5" name="Battery_Drain_%" dataDxfId="13"/>
    <tableColumn id="6" name="Charging_Sessions" dataDxfId="14"/>
    <tableColumn id="7" name="Max_Temperature_C" dataDxfId="15"/>
    <tableColumn id="8" name="Top_App_Used" dataDxfId="16"/>
    <tableColumn id="9" name="App_Usage_Hrs" dataDxfId="17"/>
    <tableColumn id="10" name="Calls_Duration_Min" dataDxfId="18"/>
    <tableColumn id="11" name="Internet_Usage_GB" dataDxfId="19"/>
    <tableColumn id="12" name="Battery_Health" dataDxfId="20"/>
    <tableColumn id="13" name="Battery_Drain_per_Hour" dataDxfId="21">
      <calculatedColumnFormula>Table1[[#This Row],[Battery_Drain_%]]/Table1[[#This Row],[Screen_Time_Hrs]]</calculatedColumnFormula>
    </tableColumn>
    <tableColumn id="14" name="Day_Type" dataDxfId="22">
      <calculatedColumnFormula>IF(WEEKDAY(Table1[[#This Row],[Date]],2)&lt;=5,"Weekday","Weekend")</calculatedColumnFormula>
    </tableColumn>
    <tableColumn id="15" name="High_Screen_Time" dataDxfId="23">
      <calculatedColumnFormula>IF(Table1[[#This Row],[Screen_Time_Hrs]]&gt;=6,"Yes","No")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T30"/>
  <sheetViews>
    <sheetView showGridLines="0" zoomScale="84" zoomScaleNormal="84" workbookViewId="0">
      <selection activeCell="H24" sqref="H24"/>
    </sheetView>
  </sheetViews>
  <sheetFormatPr defaultColWidth="9" defaultRowHeight="14.4"/>
  <cols>
    <col min="1" max="1" width="18" customWidth="1"/>
    <col min="2" max="2" width="17.1111111111111" customWidth="1"/>
    <col min="3" max="3" width="19.5555555555556" customWidth="1"/>
    <col min="4" max="4" width="16.2222222222222" customWidth="1"/>
  </cols>
  <sheetData>
    <row r="1" ht="36.6" spans="1:13">
      <c r="A1" s="5" t="s">
        <v>0</v>
      </c>
      <c r="B1" s="5"/>
      <c r="C1" s="5"/>
      <c r="D1" s="5"/>
      <c r="E1" s="5"/>
      <c r="F1" s="5"/>
      <c r="G1" s="5"/>
      <c r="H1" s="5"/>
      <c r="I1" s="5"/>
      <c r="J1" s="5"/>
      <c r="K1" s="5"/>
      <c r="L1" s="5"/>
      <c r="M1" s="5"/>
    </row>
    <row r="3" spans="1:4">
      <c r="A3" s="6" t="s">
        <v>1</v>
      </c>
      <c r="B3" s="6" t="s">
        <v>2</v>
      </c>
      <c r="C3" s="6" t="s">
        <v>3</v>
      </c>
      <c r="D3" s="6" t="s">
        <v>4</v>
      </c>
    </row>
    <row r="4" spans="1:4">
      <c r="A4" s="6">
        <v>5.34</v>
      </c>
      <c r="B4" s="6">
        <v>44.9</v>
      </c>
      <c r="C4" s="6">
        <v>2.03333333333333</v>
      </c>
      <c r="D4" s="6">
        <v>96.1333333333333</v>
      </c>
    </row>
    <row r="21" ht="17.4" spans="2:17">
      <c r="B21" s="7" t="s">
        <v>5</v>
      </c>
      <c r="C21" s="7"/>
      <c r="D21" s="7"/>
      <c r="E21" s="7"/>
      <c r="F21" s="4"/>
      <c r="G21" s="4"/>
      <c r="H21" s="4"/>
      <c r="J21" s="8" t="s">
        <v>6</v>
      </c>
      <c r="K21" s="8"/>
      <c r="L21" s="8"/>
      <c r="M21" s="8"/>
      <c r="N21" s="8"/>
      <c r="O21" s="8"/>
      <c r="P21" s="8"/>
      <c r="Q21" s="8"/>
    </row>
    <row r="22" ht="17.4" spans="2:20">
      <c r="B22" s="7" t="s">
        <v>7</v>
      </c>
      <c r="C22" s="7"/>
      <c r="D22" s="7"/>
      <c r="E22" s="7"/>
      <c r="F22" s="4"/>
      <c r="G22" s="4"/>
      <c r="H22" s="4"/>
      <c r="J22" s="7" t="s">
        <v>8</v>
      </c>
      <c r="K22" s="7"/>
      <c r="L22" s="7"/>
      <c r="M22" s="7"/>
      <c r="N22" s="7"/>
      <c r="O22" s="7"/>
      <c r="P22" s="7"/>
      <c r="Q22" s="7"/>
      <c r="R22" s="4"/>
      <c r="S22" s="4"/>
      <c r="T22" s="4"/>
    </row>
    <row r="23" ht="17.4" spans="2:20">
      <c r="B23" s="7" t="s">
        <v>9</v>
      </c>
      <c r="C23" s="7"/>
      <c r="D23" s="7"/>
      <c r="E23" s="7"/>
      <c r="F23" s="4"/>
      <c r="G23" s="4"/>
      <c r="H23" s="4"/>
      <c r="J23" s="7" t="s">
        <v>10</v>
      </c>
      <c r="K23" s="7"/>
      <c r="L23" s="7"/>
      <c r="M23" s="7"/>
      <c r="N23" s="7"/>
      <c r="O23" s="7"/>
      <c r="P23" s="7"/>
      <c r="Q23" s="7"/>
      <c r="R23" s="4"/>
      <c r="S23" s="4"/>
      <c r="T23" s="4"/>
    </row>
    <row r="24" ht="17.4" spans="2:20">
      <c r="B24" s="7" t="s">
        <v>11</v>
      </c>
      <c r="C24" s="7"/>
      <c r="D24" s="7"/>
      <c r="E24" s="7"/>
      <c r="F24" s="4"/>
      <c r="G24" s="4"/>
      <c r="H24" s="4"/>
      <c r="J24" s="7"/>
      <c r="K24" s="7"/>
      <c r="L24" s="7"/>
      <c r="M24" s="7"/>
      <c r="N24" s="7"/>
      <c r="O24" s="7"/>
      <c r="P24" s="7"/>
      <c r="Q24" s="7"/>
      <c r="R24" s="4"/>
      <c r="S24" s="4"/>
      <c r="T24" s="4"/>
    </row>
    <row r="25" ht="17.4" spans="1:8">
      <c r="A25" s="4"/>
      <c r="B25" s="7" t="s">
        <v>12</v>
      </c>
      <c r="C25" s="7"/>
      <c r="D25" s="7"/>
      <c r="E25" s="7"/>
      <c r="F25" s="4"/>
      <c r="G25" s="4"/>
      <c r="H25" s="4"/>
    </row>
    <row r="26" ht="17.4" spans="1:8">
      <c r="A26" s="4"/>
      <c r="B26" s="7" t="s">
        <v>13</v>
      </c>
      <c r="C26" s="7"/>
      <c r="D26" s="7"/>
      <c r="E26" s="7"/>
      <c r="F26" s="4"/>
      <c r="G26" s="4"/>
      <c r="H26" s="4"/>
    </row>
    <row r="27" spans="1:7">
      <c r="A27" s="4"/>
      <c r="B27" s="4"/>
      <c r="C27" s="4"/>
      <c r="D27" s="4"/>
      <c r="E27" s="4"/>
      <c r="F27" s="4"/>
      <c r="G27" s="4"/>
    </row>
    <row r="28" spans="1:20">
      <c r="A28" s="4"/>
      <c r="J28" s="4"/>
      <c r="K28" s="4"/>
      <c r="L28" s="4"/>
      <c r="M28" s="4"/>
      <c r="N28" s="4"/>
      <c r="O28" s="4"/>
      <c r="P28" s="4"/>
      <c r="Q28" s="4"/>
      <c r="R28" s="4"/>
      <c r="S28" s="4"/>
      <c r="T28" s="4"/>
    </row>
    <row r="29" spans="1:20">
      <c r="A29" s="4"/>
      <c r="J29" s="4"/>
      <c r="K29" s="4"/>
      <c r="L29" s="4"/>
      <c r="M29" s="4"/>
      <c r="N29" s="4"/>
      <c r="O29" s="4"/>
      <c r="P29" s="4"/>
      <c r="Q29" s="4"/>
      <c r="R29" s="4"/>
      <c r="S29" s="4"/>
      <c r="T29" s="4"/>
    </row>
    <row r="30" spans="1:20">
      <c r="A30" s="4"/>
      <c r="J30" s="4"/>
      <c r="K30" s="4"/>
      <c r="L30" s="4"/>
      <c r="M30" s="4"/>
      <c r="N30" s="4"/>
      <c r="O30" s="4"/>
      <c r="P30" s="4"/>
      <c r="Q30" s="4"/>
      <c r="R30" s="4"/>
      <c r="S30" s="4"/>
      <c r="T30" s="4"/>
    </row>
  </sheetData>
  <mergeCells count="1">
    <mergeCell ref="A1:M1"/>
  </mergeCells>
  <pageMargins left="0.7" right="0.7" top="0.75" bottom="0.75" header="0.3" footer="0.3"/>
  <pageSetup paperSize="9" orientation="portrait"/>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1"/>
  <sheetViews>
    <sheetView tabSelected="1" topLeftCell="A6" workbookViewId="0">
      <selection activeCell="F9" sqref="F9"/>
    </sheetView>
  </sheetViews>
  <sheetFormatPr defaultColWidth="9" defaultRowHeight="14.4"/>
  <cols>
    <col min="1" max="1" width="14.5555555555556" customWidth="1"/>
  </cols>
  <sheetData>
    <row r="1" ht="43.2" spans="1:12">
      <c r="A1" s="1" t="s">
        <v>14</v>
      </c>
      <c r="B1" s="1" t="s">
        <v>15</v>
      </c>
      <c r="C1" s="1" t="s">
        <v>16</v>
      </c>
      <c r="D1" s="1" t="s">
        <v>17</v>
      </c>
      <c r="E1" s="1" t="s">
        <v>18</v>
      </c>
      <c r="F1" s="1" t="s">
        <v>19</v>
      </c>
      <c r="G1" s="1" t="s">
        <v>20</v>
      </c>
      <c r="H1" s="1" t="s">
        <v>21</v>
      </c>
      <c r="I1" s="1" t="s">
        <v>22</v>
      </c>
      <c r="J1" s="1" t="s">
        <v>23</v>
      </c>
      <c r="K1" s="1" t="s">
        <v>24</v>
      </c>
      <c r="L1" s="1" t="s">
        <v>25</v>
      </c>
    </row>
    <row r="2" spans="1:12">
      <c r="A2" s="2">
        <v>45658</v>
      </c>
      <c r="B2" s="3">
        <v>4.2</v>
      </c>
      <c r="C2" s="3">
        <v>100</v>
      </c>
      <c r="D2" s="3">
        <v>62</v>
      </c>
      <c r="E2" s="3">
        <v>38</v>
      </c>
      <c r="F2" s="3">
        <v>2</v>
      </c>
      <c r="G2" s="3">
        <v>36</v>
      </c>
      <c r="H2" s="3" t="s">
        <v>26</v>
      </c>
      <c r="I2" s="3">
        <v>1.8</v>
      </c>
      <c r="J2" s="3">
        <v>22</v>
      </c>
      <c r="K2" s="3">
        <v>1.9</v>
      </c>
      <c r="L2" s="3">
        <v>100</v>
      </c>
    </row>
    <row r="3" ht="28.8" spans="1:12">
      <c r="A3" s="2">
        <v>45659</v>
      </c>
      <c r="B3" s="3">
        <v>5</v>
      </c>
      <c r="C3" s="3">
        <v>100</v>
      </c>
      <c r="D3" s="3">
        <v>55</v>
      </c>
      <c r="E3" s="3">
        <v>45</v>
      </c>
      <c r="F3" s="3">
        <v>2</v>
      </c>
      <c r="G3" s="3">
        <v>38</v>
      </c>
      <c r="H3" s="3" t="s">
        <v>27</v>
      </c>
      <c r="I3" s="3">
        <v>2.4</v>
      </c>
      <c r="J3" s="3">
        <v>15</v>
      </c>
      <c r="K3" s="3">
        <v>2.1</v>
      </c>
      <c r="L3" s="3">
        <v>100</v>
      </c>
    </row>
    <row r="4" spans="1:12">
      <c r="A4" s="2">
        <v>45660</v>
      </c>
      <c r="B4" s="3">
        <v>3.8</v>
      </c>
      <c r="C4" s="3">
        <v>100</v>
      </c>
      <c r="D4" s="3">
        <v>68</v>
      </c>
      <c r="E4" s="3">
        <v>32</v>
      </c>
      <c r="F4" s="3">
        <v>1</v>
      </c>
      <c r="G4" s="3">
        <v>34</v>
      </c>
      <c r="H4" s="3" t="s">
        <v>28</v>
      </c>
      <c r="I4" s="3">
        <v>1.1</v>
      </c>
      <c r="J4" s="3">
        <v>35</v>
      </c>
      <c r="K4" s="3">
        <v>1.4</v>
      </c>
      <c r="L4" s="3">
        <v>100</v>
      </c>
    </row>
    <row r="5" spans="1:12">
      <c r="A5" s="2">
        <v>45661</v>
      </c>
      <c r="B5" s="3">
        <v>6.1</v>
      </c>
      <c r="C5" s="3">
        <v>100</v>
      </c>
      <c r="D5" s="3">
        <v>48</v>
      </c>
      <c r="E5" s="3">
        <v>52</v>
      </c>
      <c r="F5" s="3">
        <v>3</v>
      </c>
      <c r="G5" s="3">
        <v>41</v>
      </c>
      <c r="H5" s="3" t="s">
        <v>26</v>
      </c>
      <c r="I5" s="3">
        <v>2.7</v>
      </c>
      <c r="J5" s="3">
        <v>28</v>
      </c>
      <c r="K5" s="3">
        <v>3.2</v>
      </c>
      <c r="L5" s="3">
        <v>99</v>
      </c>
    </row>
    <row r="6" ht="28.8" spans="1:12">
      <c r="A6" s="2">
        <v>45662</v>
      </c>
      <c r="B6" s="3">
        <v>5.4</v>
      </c>
      <c r="C6" s="3">
        <v>100</v>
      </c>
      <c r="D6" s="3">
        <v>53</v>
      </c>
      <c r="E6" s="3">
        <v>47</v>
      </c>
      <c r="F6" s="3">
        <v>2</v>
      </c>
      <c r="G6" s="3">
        <v>39</v>
      </c>
      <c r="H6" s="3" t="s">
        <v>27</v>
      </c>
      <c r="I6" s="3">
        <v>2.1</v>
      </c>
      <c r="J6" s="3">
        <v>18</v>
      </c>
      <c r="K6" s="3">
        <v>2.4</v>
      </c>
      <c r="L6" s="3">
        <v>99</v>
      </c>
    </row>
    <row r="7" spans="1:12">
      <c r="A7" s="2">
        <v>45663</v>
      </c>
      <c r="B7" s="3">
        <v>4</v>
      </c>
      <c r="C7" s="3">
        <v>100</v>
      </c>
      <c r="D7" s="3">
        <v>66</v>
      </c>
      <c r="E7" s="3">
        <v>34</v>
      </c>
      <c r="F7" s="3">
        <v>1</v>
      </c>
      <c r="G7" s="3">
        <v>35</v>
      </c>
      <c r="H7" s="3" t="s">
        <v>28</v>
      </c>
      <c r="I7" s="3">
        <v>1.5</v>
      </c>
      <c r="J7" s="3">
        <v>40</v>
      </c>
      <c r="K7" s="3">
        <v>1.7</v>
      </c>
      <c r="L7" s="3">
        <v>99</v>
      </c>
    </row>
    <row r="8" spans="1:12">
      <c r="A8" s="2">
        <v>45664</v>
      </c>
      <c r="B8" s="3">
        <v>7.2</v>
      </c>
      <c r="C8" s="3">
        <v>100</v>
      </c>
      <c r="D8" s="3">
        <v>42</v>
      </c>
      <c r="E8" s="3">
        <v>58</v>
      </c>
      <c r="F8" s="3">
        <v>3</v>
      </c>
      <c r="G8" s="3">
        <v>43</v>
      </c>
      <c r="H8" s="3" t="s">
        <v>29</v>
      </c>
      <c r="I8" s="3">
        <v>3.4</v>
      </c>
      <c r="J8" s="3">
        <v>10</v>
      </c>
      <c r="K8" s="3">
        <v>3.6</v>
      </c>
      <c r="L8" s="3">
        <v>99</v>
      </c>
    </row>
    <row r="9" spans="1:12">
      <c r="A9" s="2">
        <v>45665</v>
      </c>
      <c r="B9" s="3">
        <v>6.8</v>
      </c>
      <c r="C9" s="3">
        <v>100</v>
      </c>
      <c r="D9" s="3">
        <v>45</v>
      </c>
      <c r="E9" s="3">
        <v>55</v>
      </c>
      <c r="F9" s="3">
        <v>3</v>
      </c>
      <c r="G9" s="3">
        <v>44</v>
      </c>
      <c r="H9" s="3" t="s">
        <v>26</v>
      </c>
      <c r="I9" s="3">
        <v>2.9</v>
      </c>
      <c r="J9" s="3">
        <v>25</v>
      </c>
      <c r="K9" s="3">
        <v>3.3</v>
      </c>
      <c r="L9" s="3">
        <v>98</v>
      </c>
    </row>
    <row r="10" ht="28.8" spans="1:12">
      <c r="A10" s="2">
        <v>45666</v>
      </c>
      <c r="B10" s="3">
        <v>4.5</v>
      </c>
      <c r="C10" s="3">
        <v>100</v>
      </c>
      <c r="D10" s="3">
        <v>61</v>
      </c>
      <c r="E10" s="3">
        <v>39</v>
      </c>
      <c r="F10" s="3">
        <v>2</v>
      </c>
      <c r="G10" s="3">
        <v>37</v>
      </c>
      <c r="H10" s="3" t="s">
        <v>27</v>
      </c>
      <c r="I10" s="3">
        <v>2.2</v>
      </c>
      <c r="J10" s="3">
        <v>12</v>
      </c>
      <c r="K10" s="3">
        <v>2</v>
      </c>
      <c r="L10" s="3">
        <v>98</v>
      </c>
    </row>
    <row r="11" spans="1:12">
      <c r="A11" s="2">
        <v>45667</v>
      </c>
      <c r="B11" s="3">
        <v>5.7</v>
      </c>
      <c r="C11" s="3">
        <v>100</v>
      </c>
      <c r="D11" s="3">
        <v>52</v>
      </c>
      <c r="E11" s="3">
        <v>48</v>
      </c>
      <c r="F11" s="3">
        <v>2</v>
      </c>
      <c r="G11" s="3">
        <v>40</v>
      </c>
      <c r="H11" s="3" t="s">
        <v>29</v>
      </c>
      <c r="I11" s="3">
        <v>3</v>
      </c>
      <c r="J11" s="3">
        <v>18</v>
      </c>
      <c r="K11" s="3">
        <v>2.8</v>
      </c>
      <c r="L11" s="3">
        <v>98</v>
      </c>
    </row>
    <row r="12" spans="1:12">
      <c r="A12" s="2">
        <v>45668</v>
      </c>
      <c r="B12" s="3">
        <v>3.5</v>
      </c>
      <c r="C12" s="3">
        <v>100</v>
      </c>
      <c r="D12" s="3">
        <v>69</v>
      </c>
      <c r="E12" s="3">
        <v>31</v>
      </c>
      <c r="F12" s="3">
        <v>1</v>
      </c>
      <c r="G12" s="3">
        <v>33</v>
      </c>
      <c r="H12" s="3" t="s">
        <v>28</v>
      </c>
      <c r="I12" s="3">
        <v>1.2</v>
      </c>
      <c r="J12" s="3">
        <v>30</v>
      </c>
      <c r="K12" s="3">
        <v>1.5</v>
      </c>
      <c r="L12" s="3">
        <v>98</v>
      </c>
    </row>
    <row r="13" spans="1:12">
      <c r="A13" s="2">
        <v>45669</v>
      </c>
      <c r="B13" s="3">
        <v>6</v>
      </c>
      <c r="C13" s="3">
        <v>100</v>
      </c>
      <c r="D13" s="3">
        <v>49</v>
      </c>
      <c r="E13" s="3">
        <v>51</v>
      </c>
      <c r="F13" s="3">
        <v>3</v>
      </c>
      <c r="G13" s="3">
        <v>42</v>
      </c>
      <c r="H13" s="3" t="s">
        <v>26</v>
      </c>
      <c r="I13" s="3">
        <v>2.6</v>
      </c>
      <c r="J13" s="3">
        <v>20</v>
      </c>
      <c r="K13" s="3">
        <v>3</v>
      </c>
      <c r="L13" s="3">
        <v>97</v>
      </c>
    </row>
    <row r="14" ht="28.8" spans="1:12">
      <c r="A14" s="2">
        <v>45670</v>
      </c>
      <c r="B14" s="3">
        <v>5.2</v>
      </c>
      <c r="C14" s="3">
        <v>100</v>
      </c>
      <c r="D14" s="3">
        <v>56</v>
      </c>
      <c r="E14" s="3">
        <v>44</v>
      </c>
      <c r="F14" s="3">
        <v>2</v>
      </c>
      <c r="G14" s="3">
        <v>39</v>
      </c>
      <c r="H14" s="3" t="s">
        <v>27</v>
      </c>
      <c r="I14" s="3">
        <v>2</v>
      </c>
      <c r="J14" s="3">
        <v>14</v>
      </c>
      <c r="K14" s="3">
        <v>2.2</v>
      </c>
      <c r="L14" s="3">
        <v>97</v>
      </c>
    </row>
    <row r="15" spans="1:12">
      <c r="A15" s="2">
        <v>45671</v>
      </c>
      <c r="B15" s="3">
        <v>4.1</v>
      </c>
      <c r="C15" s="3">
        <v>100</v>
      </c>
      <c r="D15" s="3">
        <v>65</v>
      </c>
      <c r="E15" s="3">
        <v>35</v>
      </c>
      <c r="F15" s="3">
        <v>1</v>
      </c>
      <c r="G15" s="3">
        <v>36</v>
      </c>
      <c r="H15" s="3" t="s">
        <v>28</v>
      </c>
      <c r="I15" s="3">
        <v>1.3</v>
      </c>
      <c r="J15" s="3">
        <v>42</v>
      </c>
      <c r="K15" s="3">
        <v>1.8</v>
      </c>
      <c r="L15" s="3">
        <v>97</v>
      </c>
    </row>
    <row r="16" spans="1:12">
      <c r="A16" s="2">
        <v>45672</v>
      </c>
      <c r="B16" s="3">
        <v>7.4</v>
      </c>
      <c r="C16" s="3">
        <v>100</v>
      </c>
      <c r="D16" s="3">
        <v>41</v>
      </c>
      <c r="E16" s="3">
        <v>59</v>
      </c>
      <c r="F16" s="3">
        <v>3</v>
      </c>
      <c r="G16" s="3">
        <v>45</v>
      </c>
      <c r="H16" s="3" t="s">
        <v>29</v>
      </c>
      <c r="I16" s="3">
        <v>3.5</v>
      </c>
      <c r="J16" s="3">
        <v>15</v>
      </c>
      <c r="K16" s="3">
        <v>3.7</v>
      </c>
      <c r="L16" s="3">
        <v>96</v>
      </c>
    </row>
    <row r="17" spans="1:12">
      <c r="A17" s="2">
        <v>45673</v>
      </c>
      <c r="B17" s="3">
        <v>6.5</v>
      </c>
      <c r="C17" s="3">
        <v>100</v>
      </c>
      <c r="D17" s="3">
        <v>47</v>
      </c>
      <c r="E17" s="3">
        <v>53</v>
      </c>
      <c r="F17" s="3">
        <v>3</v>
      </c>
      <c r="G17" s="3">
        <v>43</v>
      </c>
      <c r="H17" s="3" t="s">
        <v>26</v>
      </c>
      <c r="I17" s="3">
        <v>2.8</v>
      </c>
      <c r="J17" s="3">
        <v>21</v>
      </c>
      <c r="K17" s="3">
        <v>3.4</v>
      </c>
      <c r="L17" s="3">
        <v>96</v>
      </c>
    </row>
    <row r="18" ht="28.8" spans="1:12">
      <c r="A18" s="2">
        <v>45674</v>
      </c>
      <c r="B18" s="3">
        <v>4.6</v>
      </c>
      <c r="C18" s="3">
        <v>100</v>
      </c>
      <c r="D18" s="3">
        <v>60</v>
      </c>
      <c r="E18" s="3">
        <v>40</v>
      </c>
      <c r="F18" s="3">
        <v>2</v>
      </c>
      <c r="G18" s="3">
        <v>38</v>
      </c>
      <c r="H18" s="3" t="s">
        <v>27</v>
      </c>
      <c r="I18" s="3">
        <v>2.1</v>
      </c>
      <c r="J18" s="3">
        <v>26</v>
      </c>
      <c r="K18" s="3">
        <v>2.3</v>
      </c>
      <c r="L18" s="3">
        <v>96</v>
      </c>
    </row>
    <row r="19" spans="1:12">
      <c r="A19" s="2">
        <v>45675</v>
      </c>
      <c r="B19" s="3">
        <v>5.8</v>
      </c>
      <c r="C19" s="3">
        <v>100</v>
      </c>
      <c r="D19" s="3">
        <v>51</v>
      </c>
      <c r="E19" s="3">
        <v>49</v>
      </c>
      <c r="F19" s="3">
        <v>2</v>
      </c>
      <c r="G19" s="3">
        <v>40</v>
      </c>
      <c r="H19" s="3" t="s">
        <v>26</v>
      </c>
      <c r="I19" s="3">
        <v>2.4</v>
      </c>
      <c r="J19" s="3">
        <v>18</v>
      </c>
      <c r="K19" s="3">
        <v>2.6</v>
      </c>
      <c r="L19" s="3">
        <v>95</v>
      </c>
    </row>
    <row r="20" spans="1:12">
      <c r="A20" s="2">
        <v>45676</v>
      </c>
      <c r="B20" s="3">
        <v>3.9</v>
      </c>
      <c r="C20" s="3">
        <v>100</v>
      </c>
      <c r="D20" s="3">
        <v>67</v>
      </c>
      <c r="E20" s="3">
        <v>33</v>
      </c>
      <c r="F20" s="3">
        <v>1</v>
      </c>
      <c r="G20" s="3">
        <v>34</v>
      </c>
      <c r="H20" s="3" t="s">
        <v>28</v>
      </c>
      <c r="I20" s="3">
        <v>1.4</v>
      </c>
      <c r="J20" s="3">
        <v>32</v>
      </c>
      <c r="K20" s="3">
        <v>1.6</v>
      </c>
      <c r="L20" s="3">
        <v>95</v>
      </c>
    </row>
    <row r="21" spans="1:12">
      <c r="A21" s="2">
        <v>45677</v>
      </c>
      <c r="B21" s="3">
        <v>6.9</v>
      </c>
      <c r="C21" s="3">
        <v>100</v>
      </c>
      <c r="D21" s="3">
        <v>44</v>
      </c>
      <c r="E21" s="3">
        <v>56</v>
      </c>
      <c r="F21" s="3">
        <v>3</v>
      </c>
      <c r="G21" s="3">
        <v>44</v>
      </c>
      <c r="H21" s="3" t="s">
        <v>29</v>
      </c>
      <c r="I21" s="3">
        <v>3.3</v>
      </c>
      <c r="J21" s="3">
        <v>13</v>
      </c>
      <c r="K21" s="3">
        <v>3.2</v>
      </c>
      <c r="L21" s="3">
        <v>95</v>
      </c>
    </row>
    <row r="22" ht="28.8" spans="1:12">
      <c r="A22" s="2">
        <v>45678</v>
      </c>
      <c r="B22" s="3">
        <v>4.8</v>
      </c>
      <c r="C22" s="3">
        <v>100</v>
      </c>
      <c r="D22" s="3">
        <v>59</v>
      </c>
      <c r="E22" s="3">
        <v>41</v>
      </c>
      <c r="F22" s="3">
        <v>2</v>
      </c>
      <c r="G22" s="3">
        <v>37</v>
      </c>
      <c r="H22" s="3" t="s">
        <v>27</v>
      </c>
      <c r="I22" s="3">
        <v>2</v>
      </c>
      <c r="J22" s="3">
        <v>20</v>
      </c>
      <c r="K22" s="3">
        <v>2.1</v>
      </c>
      <c r="L22" s="3">
        <v>95</v>
      </c>
    </row>
    <row r="23" spans="1:12">
      <c r="A23" s="2">
        <v>45679</v>
      </c>
      <c r="B23" s="3">
        <v>5.9</v>
      </c>
      <c r="C23" s="3">
        <v>100</v>
      </c>
      <c r="D23" s="3">
        <v>50</v>
      </c>
      <c r="E23" s="3">
        <v>50</v>
      </c>
      <c r="F23" s="3">
        <v>2</v>
      </c>
      <c r="G23" s="3">
        <v>41</v>
      </c>
      <c r="H23" s="3" t="s">
        <v>26</v>
      </c>
      <c r="I23" s="3">
        <v>2.5</v>
      </c>
      <c r="J23" s="3">
        <v>19</v>
      </c>
      <c r="K23" s="3">
        <v>2.8</v>
      </c>
      <c r="L23" s="3">
        <v>94</v>
      </c>
    </row>
    <row r="24" spans="1:12">
      <c r="A24" s="2">
        <v>45680</v>
      </c>
      <c r="B24" s="3">
        <v>3.7</v>
      </c>
      <c r="C24" s="3">
        <v>100</v>
      </c>
      <c r="D24" s="3">
        <v>70</v>
      </c>
      <c r="E24" s="3">
        <v>30</v>
      </c>
      <c r="F24" s="3">
        <v>1</v>
      </c>
      <c r="G24" s="3">
        <v>33</v>
      </c>
      <c r="H24" s="3" t="s">
        <v>28</v>
      </c>
      <c r="I24" s="3">
        <v>1</v>
      </c>
      <c r="J24" s="3">
        <v>28</v>
      </c>
      <c r="K24" s="3">
        <v>1.3</v>
      </c>
      <c r="L24" s="3">
        <v>94</v>
      </c>
    </row>
    <row r="25" ht="28.8" spans="1:12">
      <c r="A25" s="2">
        <v>45681</v>
      </c>
      <c r="B25" s="3">
        <v>6.2</v>
      </c>
      <c r="C25" s="3">
        <v>100</v>
      </c>
      <c r="D25" s="3">
        <v>46</v>
      </c>
      <c r="E25" s="3">
        <v>54</v>
      </c>
      <c r="F25" s="3">
        <v>3</v>
      </c>
      <c r="G25" s="3">
        <v>42</v>
      </c>
      <c r="H25" s="3" t="s">
        <v>27</v>
      </c>
      <c r="I25" s="3">
        <v>2.3</v>
      </c>
      <c r="J25" s="3">
        <v>17</v>
      </c>
      <c r="K25" s="3">
        <v>2.7</v>
      </c>
      <c r="L25" s="3">
        <v>94</v>
      </c>
    </row>
    <row r="26" spans="1:12">
      <c r="A26" s="2">
        <v>45682</v>
      </c>
      <c r="B26" s="3">
        <v>5.3</v>
      </c>
      <c r="C26" s="3">
        <v>100</v>
      </c>
      <c r="D26" s="3">
        <v>54</v>
      </c>
      <c r="E26" s="3">
        <v>46</v>
      </c>
      <c r="F26" s="3">
        <v>2</v>
      </c>
      <c r="G26" s="3">
        <v>39</v>
      </c>
      <c r="H26" s="3" t="s">
        <v>26</v>
      </c>
      <c r="I26" s="3">
        <v>2.1</v>
      </c>
      <c r="J26" s="3">
        <v>22</v>
      </c>
      <c r="K26" s="3">
        <v>2.5</v>
      </c>
      <c r="L26" s="3">
        <v>93</v>
      </c>
    </row>
    <row r="27" spans="1:12">
      <c r="A27" s="2">
        <v>45683</v>
      </c>
      <c r="B27" s="3">
        <v>4.4</v>
      </c>
      <c r="C27" s="3">
        <v>100</v>
      </c>
      <c r="D27" s="3">
        <v>63</v>
      </c>
      <c r="E27" s="3">
        <v>37</v>
      </c>
      <c r="F27" s="3">
        <v>1</v>
      </c>
      <c r="G27" s="3">
        <v>36</v>
      </c>
      <c r="H27" s="3" t="s">
        <v>28</v>
      </c>
      <c r="I27" s="3">
        <v>1.2</v>
      </c>
      <c r="J27" s="3">
        <v>33</v>
      </c>
      <c r="K27" s="3">
        <v>1.9</v>
      </c>
      <c r="L27" s="3">
        <v>93</v>
      </c>
    </row>
    <row r="28" spans="1:12">
      <c r="A28" s="2">
        <v>45684</v>
      </c>
      <c r="B28" s="3">
        <v>7.1</v>
      </c>
      <c r="C28" s="3">
        <v>100</v>
      </c>
      <c r="D28" s="3">
        <v>43</v>
      </c>
      <c r="E28" s="3">
        <v>57</v>
      </c>
      <c r="F28" s="3">
        <v>3</v>
      </c>
      <c r="G28" s="3">
        <v>45</v>
      </c>
      <c r="H28" s="3" t="s">
        <v>29</v>
      </c>
      <c r="I28" s="3">
        <v>3.6</v>
      </c>
      <c r="J28" s="3">
        <v>14</v>
      </c>
      <c r="K28" s="3">
        <v>3.5</v>
      </c>
      <c r="L28" s="3">
        <v>93</v>
      </c>
    </row>
    <row r="29" ht="28.8" spans="1:12">
      <c r="A29" s="2">
        <v>45685</v>
      </c>
      <c r="B29" s="3">
        <v>6.3</v>
      </c>
      <c r="C29" s="3">
        <v>100</v>
      </c>
      <c r="D29" s="3">
        <v>48</v>
      </c>
      <c r="E29" s="3">
        <v>52</v>
      </c>
      <c r="F29" s="3">
        <v>2</v>
      </c>
      <c r="G29" s="3">
        <v>41</v>
      </c>
      <c r="H29" s="3" t="s">
        <v>27</v>
      </c>
      <c r="I29" s="3">
        <v>2.7</v>
      </c>
      <c r="J29" s="3">
        <v>21</v>
      </c>
      <c r="K29" s="3">
        <v>2.9</v>
      </c>
      <c r="L29" s="3">
        <v>92</v>
      </c>
    </row>
    <row r="30" spans="1:12">
      <c r="A30" s="2">
        <v>45686</v>
      </c>
      <c r="B30" s="3">
        <v>4.3</v>
      </c>
      <c r="C30" s="3">
        <v>100</v>
      </c>
      <c r="D30" s="3">
        <v>64</v>
      </c>
      <c r="E30" s="3">
        <v>36</v>
      </c>
      <c r="F30" s="3">
        <v>1</v>
      </c>
      <c r="G30" s="3">
        <v>35</v>
      </c>
      <c r="H30" s="3" t="s">
        <v>26</v>
      </c>
      <c r="I30" s="3">
        <v>1.9</v>
      </c>
      <c r="J30" s="3">
        <v>27</v>
      </c>
      <c r="K30" s="3">
        <v>1.8</v>
      </c>
      <c r="L30" s="3">
        <v>92</v>
      </c>
    </row>
    <row r="31" ht="28.8" spans="1:12">
      <c r="A31" s="2">
        <v>45687</v>
      </c>
      <c r="B31" s="3">
        <v>5.6</v>
      </c>
      <c r="C31" s="3">
        <v>100</v>
      </c>
      <c r="D31" s="3">
        <v>55</v>
      </c>
      <c r="E31" s="3">
        <v>45</v>
      </c>
      <c r="F31" s="3">
        <v>2</v>
      </c>
      <c r="G31" s="3">
        <v>38</v>
      </c>
      <c r="H31" s="3" t="s">
        <v>27</v>
      </c>
      <c r="I31" s="3">
        <v>2.2</v>
      </c>
      <c r="J31" s="3">
        <v>24</v>
      </c>
      <c r="K31" s="3">
        <v>2.4</v>
      </c>
      <c r="L31" s="3">
        <v>92</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8"/>
  <sheetViews>
    <sheetView workbookViewId="0">
      <selection activeCell="B7" sqref="B7"/>
    </sheetView>
  </sheetViews>
  <sheetFormatPr defaultColWidth="9" defaultRowHeight="14.4" outlineLevelRow="7" outlineLevelCol="1"/>
  <cols>
    <col min="1" max="1" width="12.4444444444444" customWidth="1"/>
    <col min="2" max="2" width="23.6666666666667" customWidth="1"/>
  </cols>
  <sheetData>
    <row r="3" spans="1:2">
      <c r="A3" t="s">
        <v>30</v>
      </c>
      <c r="B3" t="s">
        <v>31</v>
      </c>
    </row>
    <row r="4" spans="1:2">
      <c r="A4" s="4" t="s">
        <v>29</v>
      </c>
      <c r="B4">
        <v>55.6</v>
      </c>
    </row>
    <row r="5" spans="1:2">
      <c r="A5" s="4" t="s">
        <v>27</v>
      </c>
      <c r="B5">
        <v>45.2222222222222</v>
      </c>
    </row>
    <row r="6" spans="1:2">
      <c r="A6" s="4" t="s">
        <v>28</v>
      </c>
      <c r="B6">
        <v>33.1428571428571</v>
      </c>
    </row>
    <row r="7" spans="1:2">
      <c r="A7" s="4" t="s">
        <v>26</v>
      </c>
      <c r="B7">
        <v>47.7777777777778</v>
      </c>
    </row>
    <row r="8" spans="1:2">
      <c r="A8" s="4" t="s">
        <v>32</v>
      </c>
      <c r="B8">
        <v>44.9</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6"/>
  <sheetViews>
    <sheetView workbookViewId="0">
      <selection activeCell="M14" sqref="M14"/>
    </sheetView>
  </sheetViews>
  <sheetFormatPr defaultColWidth="9" defaultRowHeight="14.4" outlineLevelRow="5" outlineLevelCol="1"/>
  <cols>
    <col min="1" max="1" width="12.4444444444444" customWidth="1"/>
    <col min="2" max="2" width="24.4444444444444" customWidth="1"/>
  </cols>
  <sheetData>
    <row r="3" spans="1:2">
      <c r="A3" t="s">
        <v>30</v>
      </c>
      <c r="B3" t="s">
        <v>33</v>
      </c>
    </row>
    <row r="4" spans="1:2">
      <c r="A4" s="4" t="s">
        <v>34</v>
      </c>
      <c r="B4">
        <v>5.44545454545455</v>
      </c>
    </row>
    <row r="5" spans="1:2">
      <c r="A5" s="4" t="s">
        <v>35</v>
      </c>
      <c r="B5">
        <v>5.05</v>
      </c>
    </row>
    <row r="6" spans="1:2">
      <c r="A6" s="4" t="s">
        <v>32</v>
      </c>
      <c r="B6">
        <v>5.34</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7"/>
  <sheetViews>
    <sheetView topLeftCell="A2" workbookViewId="0">
      <selection activeCell="L22" sqref="L22"/>
    </sheetView>
  </sheetViews>
  <sheetFormatPr defaultColWidth="9" defaultRowHeight="14.4" outlineLevelCol="1"/>
  <cols>
    <col min="1" max="1" width="12.4444444444444" customWidth="1"/>
    <col min="2" max="2" width="23.6666666666667" customWidth="1"/>
  </cols>
  <sheetData>
    <row r="3" spans="1:2">
      <c r="A3" t="s">
        <v>30</v>
      </c>
      <c r="B3" t="s">
        <v>31</v>
      </c>
    </row>
    <row r="4" spans="1:2">
      <c r="A4" s="4">
        <v>33</v>
      </c>
      <c r="B4">
        <v>30.5</v>
      </c>
    </row>
    <row r="5" spans="1:2">
      <c r="A5" s="4">
        <v>34</v>
      </c>
      <c r="B5">
        <v>32.5</v>
      </c>
    </row>
    <row r="6" spans="1:2">
      <c r="A6" s="4">
        <v>35</v>
      </c>
      <c r="B6">
        <v>35</v>
      </c>
    </row>
    <row r="7" spans="1:2">
      <c r="A7" s="4">
        <v>36</v>
      </c>
      <c r="B7">
        <v>36.6666666666667</v>
      </c>
    </row>
    <row r="8" spans="1:2">
      <c r="A8" s="4">
        <v>37</v>
      </c>
      <c r="B8">
        <v>40</v>
      </c>
    </row>
    <row r="9" spans="1:2">
      <c r="A9" s="4">
        <v>38</v>
      </c>
      <c r="B9">
        <v>43.3333333333333</v>
      </c>
    </row>
    <row r="10" spans="1:2">
      <c r="A10" s="4">
        <v>39</v>
      </c>
      <c r="B10">
        <v>45.6666666666667</v>
      </c>
    </row>
    <row r="11" spans="1:2">
      <c r="A11" s="4">
        <v>40</v>
      </c>
      <c r="B11">
        <v>48.5</v>
      </c>
    </row>
    <row r="12" spans="1:2">
      <c r="A12" s="4">
        <v>41</v>
      </c>
      <c r="B12">
        <v>51.3333333333333</v>
      </c>
    </row>
    <row r="13" spans="1:2">
      <c r="A13" s="4">
        <v>42</v>
      </c>
      <c r="B13">
        <v>52.5</v>
      </c>
    </row>
    <row r="14" spans="1:2">
      <c r="A14" s="4">
        <v>43</v>
      </c>
      <c r="B14">
        <v>55.5</v>
      </c>
    </row>
    <row r="15" spans="1:2">
      <c r="A15" s="4">
        <v>44</v>
      </c>
      <c r="B15">
        <v>55.5</v>
      </c>
    </row>
    <row r="16" spans="1:2">
      <c r="A16" s="4">
        <v>45</v>
      </c>
      <c r="B16">
        <v>58</v>
      </c>
    </row>
    <row r="17" spans="1:2">
      <c r="A17" s="4" t="s">
        <v>32</v>
      </c>
      <c r="B17">
        <v>44.9</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8"/>
  <sheetViews>
    <sheetView workbookViewId="0">
      <selection activeCell="O11" sqref="O11"/>
    </sheetView>
  </sheetViews>
  <sheetFormatPr defaultColWidth="9" defaultRowHeight="14.4" outlineLevelRow="7" outlineLevelCol="1"/>
  <cols>
    <col min="1" max="1" width="12.4444444444444" customWidth="1"/>
    <col min="2" max="2" width="20" customWidth="1"/>
  </cols>
  <sheetData>
    <row r="3" spans="1:2">
      <c r="A3" t="s">
        <v>30</v>
      </c>
      <c r="B3" t="s">
        <v>36</v>
      </c>
    </row>
    <row r="4" spans="1:2">
      <c r="A4" s="4" t="s">
        <v>29</v>
      </c>
      <c r="B4">
        <v>16.8</v>
      </c>
    </row>
    <row r="5" spans="1:2">
      <c r="A5" s="4" t="s">
        <v>27</v>
      </c>
      <c r="B5">
        <v>20</v>
      </c>
    </row>
    <row r="6" spans="1:2">
      <c r="A6" s="4" t="s">
        <v>28</v>
      </c>
      <c r="B6">
        <v>8.7</v>
      </c>
    </row>
    <row r="7" spans="1:2">
      <c r="A7" s="4" t="s">
        <v>26</v>
      </c>
      <c r="B7">
        <v>21.7</v>
      </c>
    </row>
    <row r="8" spans="1:2">
      <c r="A8" s="4" t="s">
        <v>32</v>
      </c>
      <c r="B8">
        <v>67.2</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1"/>
  <sheetViews>
    <sheetView workbookViewId="0">
      <selection activeCell="D16" sqref="D16"/>
    </sheetView>
  </sheetViews>
  <sheetFormatPr defaultColWidth="9" defaultRowHeight="14.4"/>
  <cols>
    <col min="1" max="1" width="11.1111111111111" customWidth="1"/>
    <col min="2" max="2" width="17.2222222222222" customWidth="1"/>
    <col min="3" max="3" width="16.1111111111111" customWidth="1"/>
    <col min="4" max="4" width="15.1111111111111" customWidth="1"/>
    <col min="5" max="5" width="16.4444444444444" customWidth="1"/>
    <col min="6" max="6" width="18.2222222222222" customWidth="1"/>
    <col min="7" max="7" width="19.6666666666667" customWidth="1"/>
    <col min="8" max="8" width="15" customWidth="1"/>
    <col min="9" max="9" width="15.8888888888889" customWidth="1"/>
    <col min="10" max="10" width="18.7777777777778" customWidth="1"/>
    <col min="11" max="11" width="18.4444444444444" customWidth="1"/>
    <col min="12" max="12" width="15.2222222222222" customWidth="1"/>
    <col min="13" max="13" width="25.2222222222222" customWidth="1"/>
    <col min="14" max="14" width="13.2222222222222" customWidth="1"/>
    <col min="15" max="15" width="20.7777777777778" customWidth="1"/>
  </cols>
  <sheetData>
    <row r="1" ht="28.8" spans="1:15">
      <c r="A1" s="1" t="s">
        <v>14</v>
      </c>
      <c r="B1" s="1" t="s">
        <v>15</v>
      </c>
      <c r="C1" s="1" t="s">
        <v>16</v>
      </c>
      <c r="D1" s="1" t="s">
        <v>17</v>
      </c>
      <c r="E1" s="1" t="s">
        <v>18</v>
      </c>
      <c r="F1" s="1" t="s">
        <v>19</v>
      </c>
      <c r="G1" s="1" t="s">
        <v>20</v>
      </c>
      <c r="H1" s="1" t="s">
        <v>21</v>
      </c>
      <c r="I1" s="1" t="s">
        <v>22</v>
      </c>
      <c r="J1" s="1" t="s">
        <v>23</v>
      </c>
      <c r="K1" s="1" t="s">
        <v>24</v>
      </c>
      <c r="L1" s="1" t="s">
        <v>25</v>
      </c>
      <c r="M1" s="1" t="s">
        <v>37</v>
      </c>
      <c r="N1" s="1" t="s">
        <v>38</v>
      </c>
      <c r="O1" s="1" t="s">
        <v>39</v>
      </c>
    </row>
    <row r="2" spans="1:15">
      <c r="A2" s="2">
        <v>45658</v>
      </c>
      <c r="B2" s="3">
        <v>4.2</v>
      </c>
      <c r="C2" s="3">
        <v>100</v>
      </c>
      <c r="D2" s="3">
        <v>62</v>
      </c>
      <c r="E2" s="3">
        <v>38</v>
      </c>
      <c r="F2" s="3">
        <v>2</v>
      </c>
      <c r="G2" s="3">
        <v>36</v>
      </c>
      <c r="H2" s="3" t="s">
        <v>26</v>
      </c>
      <c r="I2" s="3">
        <v>1.8</v>
      </c>
      <c r="J2" s="3">
        <v>22</v>
      </c>
      <c r="K2" s="3">
        <v>1.9</v>
      </c>
      <c r="L2" s="3">
        <v>100</v>
      </c>
      <c r="M2" s="3">
        <f>Table1[[#This Row],[Battery_Drain_%]]/Table1[[#This Row],[Screen_Time_Hrs]]</f>
        <v>9.04761904761905</v>
      </c>
      <c r="N2" s="3" t="str">
        <f>IF(WEEKDAY(Table1[[#This Row],[Date]],2)&lt;=5,"Weekday","Weekend")</f>
        <v>Weekday</v>
      </c>
      <c r="O2" s="3" t="str">
        <f>IF(Table1[[#This Row],[Screen_Time_Hrs]]&gt;=6,"Yes","No")</f>
        <v>No</v>
      </c>
    </row>
    <row r="3" spans="1:15">
      <c r="A3" s="2">
        <v>45659</v>
      </c>
      <c r="B3" s="3">
        <v>5</v>
      </c>
      <c r="C3" s="3">
        <v>100</v>
      </c>
      <c r="D3" s="3">
        <v>55</v>
      </c>
      <c r="E3" s="3">
        <v>45</v>
      </c>
      <c r="F3" s="3">
        <v>2</v>
      </c>
      <c r="G3" s="3">
        <v>38</v>
      </c>
      <c r="H3" s="3" t="s">
        <v>27</v>
      </c>
      <c r="I3" s="3">
        <v>2.4</v>
      </c>
      <c r="J3" s="3">
        <v>15</v>
      </c>
      <c r="K3" s="3">
        <v>2.1</v>
      </c>
      <c r="L3" s="3">
        <v>100</v>
      </c>
      <c r="M3" s="3">
        <f>Table1[[#This Row],[Battery_Drain_%]]/Table1[[#This Row],[Screen_Time_Hrs]]</f>
        <v>9</v>
      </c>
      <c r="N3" s="3" t="str">
        <f>IF(WEEKDAY(Table1[[#This Row],[Date]],2)&lt;=5,"Weekday","Weekend")</f>
        <v>Weekday</v>
      </c>
      <c r="O3" s="3" t="str">
        <f>IF(Table1[[#This Row],[Screen_Time_Hrs]]&gt;=6,"Yes","No")</f>
        <v>No</v>
      </c>
    </row>
    <row r="4" spans="1:15">
      <c r="A4" s="2">
        <v>45660</v>
      </c>
      <c r="B4" s="3">
        <v>3.8</v>
      </c>
      <c r="C4" s="3">
        <v>100</v>
      </c>
      <c r="D4" s="3">
        <v>68</v>
      </c>
      <c r="E4" s="3">
        <v>32</v>
      </c>
      <c r="F4" s="3">
        <v>1</v>
      </c>
      <c r="G4" s="3">
        <v>34</v>
      </c>
      <c r="H4" s="3" t="s">
        <v>28</v>
      </c>
      <c r="I4" s="3">
        <v>1.1</v>
      </c>
      <c r="J4" s="3">
        <v>35</v>
      </c>
      <c r="K4" s="3">
        <v>1.4</v>
      </c>
      <c r="L4" s="3">
        <v>100</v>
      </c>
      <c r="M4" s="3">
        <f>Table1[[#This Row],[Battery_Drain_%]]/Table1[[#This Row],[Screen_Time_Hrs]]</f>
        <v>8.42105263157895</v>
      </c>
      <c r="N4" s="3" t="str">
        <f>IF(WEEKDAY(Table1[[#This Row],[Date]],2)&lt;=5,"Weekday","Weekend")</f>
        <v>Weekday</v>
      </c>
      <c r="O4" s="3" t="str">
        <f>IF(Table1[[#This Row],[Screen_Time_Hrs]]&gt;=6,"Yes","No")</f>
        <v>No</v>
      </c>
    </row>
    <row r="5" spans="1:15">
      <c r="A5" s="2">
        <v>45661</v>
      </c>
      <c r="B5" s="3">
        <v>6.1</v>
      </c>
      <c r="C5" s="3">
        <v>100</v>
      </c>
      <c r="D5" s="3">
        <v>48</v>
      </c>
      <c r="E5" s="3">
        <v>52</v>
      </c>
      <c r="F5" s="3">
        <v>3</v>
      </c>
      <c r="G5" s="3">
        <v>41</v>
      </c>
      <c r="H5" s="3" t="s">
        <v>26</v>
      </c>
      <c r="I5" s="3">
        <v>2.7</v>
      </c>
      <c r="J5" s="3">
        <v>28</v>
      </c>
      <c r="K5" s="3">
        <v>3.2</v>
      </c>
      <c r="L5" s="3">
        <v>99</v>
      </c>
      <c r="M5" s="3">
        <f>Table1[[#This Row],[Battery_Drain_%]]/Table1[[#This Row],[Screen_Time_Hrs]]</f>
        <v>8.52459016393443</v>
      </c>
      <c r="N5" s="3" t="str">
        <f>IF(WEEKDAY(Table1[[#This Row],[Date]],2)&lt;=5,"Weekday","Weekend")</f>
        <v>Weekend</v>
      </c>
      <c r="O5" s="3" t="str">
        <f>IF(Table1[[#This Row],[Screen_Time_Hrs]]&gt;=6,"Yes","No")</f>
        <v>Yes</v>
      </c>
    </row>
    <row r="6" spans="1:15">
      <c r="A6" s="2">
        <v>45662</v>
      </c>
      <c r="B6" s="3">
        <v>5.4</v>
      </c>
      <c r="C6" s="3">
        <v>100</v>
      </c>
      <c r="D6" s="3">
        <v>53</v>
      </c>
      <c r="E6" s="3">
        <v>47</v>
      </c>
      <c r="F6" s="3">
        <v>2</v>
      </c>
      <c r="G6" s="3">
        <v>39</v>
      </c>
      <c r="H6" s="3" t="s">
        <v>27</v>
      </c>
      <c r="I6" s="3">
        <v>2.1</v>
      </c>
      <c r="J6" s="3">
        <v>18</v>
      </c>
      <c r="K6" s="3">
        <v>2.4</v>
      </c>
      <c r="L6" s="3">
        <v>99</v>
      </c>
      <c r="M6" s="3">
        <f>Table1[[#This Row],[Battery_Drain_%]]/Table1[[#This Row],[Screen_Time_Hrs]]</f>
        <v>8.7037037037037</v>
      </c>
      <c r="N6" s="3" t="str">
        <f>IF(WEEKDAY(Table1[[#This Row],[Date]],2)&lt;=5,"Weekday","Weekend")</f>
        <v>Weekend</v>
      </c>
      <c r="O6" s="3" t="str">
        <f>IF(Table1[[#This Row],[Screen_Time_Hrs]]&gt;=6,"Yes","No")</f>
        <v>No</v>
      </c>
    </row>
    <row r="7" spans="1:15">
      <c r="A7" s="2">
        <v>45663</v>
      </c>
      <c r="B7" s="3">
        <v>4</v>
      </c>
      <c r="C7" s="3">
        <v>100</v>
      </c>
      <c r="D7" s="3">
        <v>66</v>
      </c>
      <c r="E7" s="3">
        <v>34</v>
      </c>
      <c r="F7" s="3">
        <v>1</v>
      </c>
      <c r="G7" s="3">
        <v>35</v>
      </c>
      <c r="H7" s="3" t="s">
        <v>28</v>
      </c>
      <c r="I7" s="3">
        <v>1.5</v>
      </c>
      <c r="J7" s="3">
        <v>40</v>
      </c>
      <c r="K7" s="3">
        <v>1.7</v>
      </c>
      <c r="L7" s="3">
        <v>99</v>
      </c>
      <c r="M7" s="3">
        <f>Table1[[#This Row],[Battery_Drain_%]]/Table1[[#This Row],[Screen_Time_Hrs]]</f>
        <v>8.5</v>
      </c>
      <c r="N7" s="3" t="str">
        <f>IF(WEEKDAY(Table1[[#This Row],[Date]],2)&lt;=5,"Weekday","Weekend")</f>
        <v>Weekday</v>
      </c>
      <c r="O7" s="3" t="str">
        <f>IF(Table1[[#This Row],[Screen_Time_Hrs]]&gt;=6,"Yes","No")</f>
        <v>No</v>
      </c>
    </row>
    <row r="8" spans="1:15">
      <c r="A8" s="2">
        <v>45664</v>
      </c>
      <c r="B8" s="3">
        <v>7.2</v>
      </c>
      <c r="C8" s="3">
        <v>100</v>
      </c>
      <c r="D8" s="3">
        <v>42</v>
      </c>
      <c r="E8" s="3">
        <v>58</v>
      </c>
      <c r="F8" s="3">
        <v>3</v>
      </c>
      <c r="G8" s="3">
        <v>43</v>
      </c>
      <c r="H8" s="3" t="s">
        <v>29</v>
      </c>
      <c r="I8" s="3">
        <v>3.4</v>
      </c>
      <c r="J8" s="3">
        <v>10</v>
      </c>
      <c r="K8" s="3">
        <v>3.6</v>
      </c>
      <c r="L8" s="3">
        <v>99</v>
      </c>
      <c r="M8" s="3">
        <f>Table1[[#This Row],[Battery_Drain_%]]/Table1[[#This Row],[Screen_Time_Hrs]]</f>
        <v>8.05555555555556</v>
      </c>
      <c r="N8" s="3" t="str">
        <f>IF(WEEKDAY(Table1[[#This Row],[Date]],2)&lt;=5,"Weekday","Weekend")</f>
        <v>Weekday</v>
      </c>
      <c r="O8" s="3" t="str">
        <f>IF(Table1[[#This Row],[Screen_Time_Hrs]]&gt;=6,"Yes","No")</f>
        <v>Yes</v>
      </c>
    </row>
    <row r="9" spans="1:15">
      <c r="A9" s="2">
        <v>45665</v>
      </c>
      <c r="B9" s="3">
        <v>6.8</v>
      </c>
      <c r="C9" s="3">
        <v>100</v>
      </c>
      <c r="D9" s="3">
        <v>45</v>
      </c>
      <c r="E9" s="3">
        <v>55</v>
      </c>
      <c r="F9" s="3">
        <v>3</v>
      </c>
      <c r="G9" s="3">
        <v>44</v>
      </c>
      <c r="H9" s="3" t="s">
        <v>26</v>
      </c>
      <c r="I9" s="3">
        <v>2.9</v>
      </c>
      <c r="J9" s="3">
        <v>25</v>
      </c>
      <c r="K9" s="3">
        <v>3.3</v>
      </c>
      <c r="L9" s="3">
        <v>98</v>
      </c>
      <c r="M9" s="3">
        <f>Table1[[#This Row],[Battery_Drain_%]]/Table1[[#This Row],[Screen_Time_Hrs]]</f>
        <v>8.08823529411765</v>
      </c>
      <c r="N9" s="3" t="str">
        <f>IF(WEEKDAY(Table1[[#This Row],[Date]],2)&lt;=5,"Weekday","Weekend")</f>
        <v>Weekday</v>
      </c>
      <c r="O9" s="3" t="str">
        <f>IF(Table1[[#This Row],[Screen_Time_Hrs]]&gt;=6,"Yes","No")</f>
        <v>Yes</v>
      </c>
    </row>
    <row r="10" spans="1:15">
      <c r="A10" s="2">
        <v>45666</v>
      </c>
      <c r="B10" s="3">
        <v>4.5</v>
      </c>
      <c r="C10" s="3">
        <v>100</v>
      </c>
      <c r="D10" s="3">
        <v>61</v>
      </c>
      <c r="E10" s="3">
        <v>39</v>
      </c>
      <c r="F10" s="3">
        <v>2</v>
      </c>
      <c r="G10" s="3">
        <v>37</v>
      </c>
      <c r="H10" s="3" t="s">
        <v>27</v>
      </c>
      <c r="I10" s="3">
        <v>2.2</v>
      </c>
      <c r="J10" s="3">
        <v>12</v>
      </c>
      <c r="K10" s="3">
        <v>2</v>
      </c>
      <c r="L10" s="3">
        <v>98</v>
      </c>
      <c r="M10" s="3">
        <f>Table1[[#This Row],[Battery_Drain_%]]/Table1[[#This Row],[Screen_Time_Hrs]]</f>
        <v>8.66666666666667</v>
      </c>
      <c r="N10" s="3" t="str">
        <f>IF(WEEKDAY(Table1[[#This Row],[Date]],2)&lt;=5,"Weekday","Weekend")</f>
        <v>Weekday</v>
      </c>
      <c r="O10" s="3" t="str">
        <f>IF(Table1[[#This Row],[Screen_Time_Hrs]]&gt;=6,"Yes","No")</f>
        <v>No</v>
      </c>
    </row>
    <row r="11" spans="1:15">
      <c r="A11" s="2">
        <v>45667</v>
      </c>
      <c r="B11" s="3">
        <v>5.7</v>
      </c>
      <c r="C11" s="3">
        <v>100</v>
      </c>
      <c r="D11" s="3">
        <v>52</v>
      </c>
      <c r="E11" s="3">
        <v>48</v>
      </c>
      <c r="F11" s="3">
        <v>2</v>
      </c>
      <c r="G11" s="3">
        <v>40</v>
      </c>
      <c r="H11" s="3" t="s">
        <v>29</v>
      </c>
      <c r="I11" s="3">
        <v>3</v>
      </c>
      <c r="J11" s="3">
        <v>18</v>
      </c>
      <c r="K11" s="3">
        <v>2.8</v>
      </c>
      <c r="L11" s="3">
        <v>98</v>
      </c>
      <c r="M11" s="3">
        <f>Table1[[#This Row],[Battery_Drain_%]]/Table1[[#This Row],[Screen_Time_Hrs]]</f>
        <v>8.42105263157895</v>
      </c>
      <c r="N11" s="3" t="str">
        <f>IF(WEEKDAY(Table1[[#This Row],[Date]],2)&lt;=5,"Weekday","Weekend")</f>
        <v>Weekday</v>
      </c>
      <c r="O11" s="3" t="str">
        <f>IF(Table1[[#This Row],[Screen_Time_Hrs]]&gt;=6,"Yes","No")</f>
        <v>No</v>
      </c>
    </row>
    <row r="12" spans="1:15">
      <c r="A12" s="2">
        <v>45668</v>
      </c>
      <c r="B12" s="3">
        <v>3.5</v>
      </c>
      <c r="C12" s="3">
        <v>100</v>
      </c>
      <c r="D12" s="3">
        <v>69</v>
      </c>
      <c r="E12" s="3">
        <v>31</v>
      </c>
      <c r="F12" s="3">
        <v>1</v>
      </c>
      <c r="G12" s="3">
        <v>33</v>
      </c>
      <c r="H12" s="3" t="s">
        <v>28</v>
      </c>
      <c r="I12" s="3">
        <v>1.2</v>
      </c>
      <c r="J12" s="3">
        <v>30</v>
      </c>
      <c r="K12" s="3">
        <v>1.5</v>
      </c>
      <c r="L12" s="3">
        <v>98</v>
      </c>
      <c r="M12" s="3">
        <f>Table1[[#This Row],[Battery_Drain_%]]/Table1[[#This Row],[Screen_Time_Hrs]]</f>
        <v>8.85714285714286</v>
      </c>
      <c r="N12" s="3" t="str">
        <f>IF(WEEKDAY(Table1[[#This Row],[Date]],2)&lt;=5,"Weekday","Weekend")</f>
        <v>Weekend</v>
      </c>
      <c r="O12" s="3" t="str">
        <f>IF(Table1[[#This Row],[Screen_Time_Hrs]]&gt;=6,"Yes","No")</f>
        <v>No</v>
      </c>
    </row>
    <row r="13" spans="1:15">
      <c r="A13" s="2">
        <v>45669</v>
      </c>
      <c r="B13" s="3">
        <v>6</v>
      </c>
      <c r="C13" s="3">
        <v>100</v>
      </c>
      <c r="D13" s="3">
        <v>49</v>
      </c>
      <c r="E13" s="3">
        <v>51</v>
      </c>
      <c r="F13" s="3">
        <v>3</v>
      </c>
      <c r="G13" s="3">
        <v>42</v>
      </c>
      <c r="H13" s="3" t="s">
        <v>26</v>
      </c>
      <c r="I13" s="3">
        <v>2.6</v>
      </c>
      <c r="J13" s="3">
        <v>20</v>
      </c>
      <c r="K13" s="3">
        <v>3</v>
      </c>
      <c r="L13" s="3">
        <v>97</v>
      </c>
      <c r="M13" s="3">
        <f>Table1[[#This Row],[Battery_Drain_%]]/Table1[[#This Row],[Screen_Time_Hrs]]</f>
        <v>8.5</v>
      </c>
      <c r="N13" s="3" t="str">
        <f>IF(WEEKDAY(Table1[[#This Row],[Date]],2)&lt;=5,"Weekday","Weekend")</f>
        <v>Weekend</v>
      </c>
      <c r="O13" s="3" t="str">
        <f>IF(Table1[[#This Row],[Screen_Time_Hrs]]&gt;=6,"Yes","No")</f>
        <v>Yes</v>
      </c>
    </row>
    <row r="14" spans="1:15">
      <c r="A14" s="2">
        <v>45670</v>
      </c>
      <c r="B14" s="3">
        <v>5.2</v>
      </c>
      <c r="C14" s="3">
        <v>100</v>
      </c>
      <c r="D14" s="3">
        <v>56</v>
      </c>
      <c r="E14" s="3">
        <v>44</v>
      </c>
      <c r="F14" s="3">
        <v>2</v>
      </c>
      <c r="G14" s="3">
        <v>39</v>
      </c>
      <c r="H14" s="3" t="s">
        <v>27</v>
      </c>
      <c r="I14" s="3">
        <v>2</v>
      </c>
      <c r="J14" s="3">
        <v>14</v>
      </c>
      <c r="K14" s="3">
        <v>2.2</v>
      </c>
      <c r="L14" s="3">
        <v>97</v>
      </c>
      <c r="M14" s="3">
        <f>Table1[[#This Row],[Battery_Drain_%]]/Table1[[#This Row],[Screen_Time_Hrs]]</f>
        <v>8.46153846153846</v>
      </c>
      <c r="N14" s="3" t="str">
        <f>IF(WEEKDAY(Table1[[#This Row],[Date]],2)&lt;=5,"Weekday","Weekend")</f>
        <v>Weekday</v>
      </c>
      <c r="O14" s="3" t="str">
        <f>IF(Table1[[#This Row],[Screen_Time_Hrs]]&gt;=6,"Yes","No")</f>
        <v>No</v>
      </c>
    </row>
    <row r="15" spans="1:15">
      <c r="A15" s="2">
        <v>45671</v>
      </c>
      <c r="B15" s="3">
        <v>4.1</v>
      </c>
      <c r="C15" s="3">
        <v>100</v>
      </c>
      <c r="D15" s="3">
        <v>65</v>
      </c>
      <c r="E15" s="3">
        <v>35</v>
      </c>
      <c r="F15" s="3">
        <v>1</v>
      </c>
      <c r="G15" s="3">
        <v>36</v>
      </c>
      <c r="H15" s="3" t="s">
        <v>28</v>
      </c>
      <c r="I15" s="3">
        <v>1.3</v>
      </c>
      <c r="J15" s="3">
        <v>42</v>
      </c>
      <c r="K15" s="3">
        <v>1.8</v>
      </c>
      <c r="L15" s="3">
        <v>97</v>
      </c>
      <c r="M15" s="3">
        <f>Table1[[#This Row],[Battery_Drain_%]]/Table1[[#This Row],[Screen_Time_Hrs]]</f>
        <v>8.53658536585366</v>
      </c>
      <c r="N15" s="3" t="str">
        <f>IF(WEEKDAY(Table1[[#This Row],[Date]],2)&lt;=5,"Weekday","Weekend")</f>
        <v>Weekday</v>
      </c>
      <c r="O15" s="3" t="str">
        <f>IF(Table1[[#This Row],[Screen_Time_Hrs]]&gt;=6,"Yes","No")</f>
        <v>No</v>
      </c>
    </row>
    <row r="16" spans="1:15">
      <c r="A16" s="2">
        <v>45672</v>
      </c>
      <c r="B16" s="3">
        <v>7.4</v>
      </c>
      <c r="C16" s="3">
        <v>100</v>
      </c>
      <c r="D16" s="3">
        <v>41</v>
      </c>
      <c r="E16" s="3">
        <v>59</v>
      </c>
      <c r="F16" s="3">
        <v>3</v>
      </c>
      <c r="G16" s="3">
        <v>45</v>
      </c>
      <c r="H16" s="3" t="s">
        <v>29</v>
      </c>
      <c r="I16" s="3">
        <v>3.5</v>
      </c>
      <c r="J16" s="3">
        <v>15</v>
      </c>
      <c r="K16" s="3">
        <v>3.7</v>
      </c>
      <c r="L16" s="3">
        <v>96</v>
      </c>
      <c r="M16" s="3">
        <f>Table1[[#This Row],[Battery_Drain_%]]/Table1[[#This Row],[Screen_Time_Hrs]]</f>
        <v>7.97297297297297</v>
      </c>
      <c r="N16" s="3" t="str">
        <f>IF(WEEKDAY(Table1[[#This Row],[Date]],2)&lt;=5,"Weekday","Weekend")</f>
        <v>Weekday</v>
      </c>
      <c r="O16" s="3" t="str">
        <f>IF(Table1[[#This Row],[Screen_Time_Hrs]]&gt;=6,"Yes","No")</f>
        <v>Yes</v>
      </c>
    </row>
    <row r="17" spans="1:15">
      <c r="A17" s="2">
        <v>45673</v>
      </c>
      <c r="B17" s="3">
        <v>6.5</v>
      </c>
      <c r="C17" s="3">
        <v>100</v>
      </c>
      <c r="D17" s="3">
        <v>47</v>
      </c>
      <c r="E17" s="3">
        <v>53</v>
      </c>
      <c r="F17" s="3">
        <v>3</v>
      </c>
      <c r="G17" s="3">
        <v>43</v>
      </c>
      <c r="H17" s="3" t="s">
        <v>26</v>
      </c>
      <c r="I17" s="3">
        <v>2.8</v>
      </c>
      <c r="J17" s="3">
        <v>21</v>
      </c>
      <c r="K17" s="3">
        <v>3.4</v>
      </c>
      <c r="L17" s="3">
        <v>96</v>
      </c>
      <c r="M17" s="3">
        <f>Table1[[#This Row],[Battery_Drain_%]]/Table1[[#This Row],[Screen_Time_Hrs]]</f>
        <v>8.15384615384615</v>
      </c>
      <c r="N17" s="3" t="str">
        <f>IF(WEEKDAY(Table1[[#This Row],[Date]],2)&lt;=5,"Weekday","Weekend")</f>
        <v>Weekday</v>
      </c>
      <c r="O17" s="3" t="str">
        <f>IF(Table1[[#This Row],[Screen_Time_Hrs]]&gt;=6,"Yes","No")</f>
        <v>Yes</v>
      </c>
    </row>
    <row r="18" spans="1:15">
      <c r="A18" s="2">
        <v>45674</v>
      </c>
      <c r="B18" s="3">
        <v>4.6</v>
      </c>
      <c r="C18" s="3">
        <v>100</v>
      </c>
      <c r="D18" s="3">
        <v>60</v>
      </c>
      <c r="E18" s="3">
        <v>40</v>
      </c>
      <c r="F18" s="3">
        <v>2</v>
      </c>
      <c r="G18" s="3">
        <v>38</v>
      </c>
      <c r="H18" s="3" t="s">
        <v>27</v>
      </c>
      <c r="I18" s="3">
        <v>2.1</v>
      </c>
      <c r="J18" s="3">
        <v>26</v>
      </c>
      <c r="K18" s="3">
        <v>2.3</v>
      </c>
      <c r="L18" s="3">
        <v>96</v>
      </c>
      <c r="M18" s="3">
        <f>Table1[[#This Row],[Battery_Drain_%]]/Table1[[#This Row],[Screen_Time_Hrs]]</f>
        <v>8.69565217391304</v>
      </c>
      <c r="N18" s="3" t="str">
        <f>IF(WEEKDAY(Table1[[#This Row],[Date]],2)&lt;=5,"Weekday","Weekend")</f>
        <v>Weekday</v>
      </c>
      <c r="O18" s="3" t="str">
        <f>IF(Table1[[#This Row],[Screen_Time_Hrs]]&gt;=6,"Yes","No")</f>
        <v>No</v>
      </c>
    </row>
    <row r="19" spans="1:15">
      <c r="A19" s="2">
        <v>45675</v>
      </c>
      <c r="B19" s="3">
        <v>5.8</v>
      </c>
      <c r="C19" s="3">
        <v>100</v>
      </c>
      <c r="D19" s="3">
        <v>51</v>
      </c>
      <c r="E19" s="3">
        <v>49</v>
      </c>
      <c r="F19" s="3">
        <v>2</v>
      </c>
      <c r="G19" s="3">
        <v>40</v>
      </c>
      <c r="H19" s="3" t="s">
        <v>26</v>
      </c>
      <c r="I19" s="3">
        <v>2.4</v>
      </c>
      <c r="J19" s="3">
        <v>18</v>
      </c>
      <c r="K19" s="3">
        <v>2.6</v>
      </c>
      <c r="L19" s="3">
        <v>95</v>
      </c>
      <c r="M19" s="3">
        <f>Table1[[#This Row],[Battery_Drain_%]]/Table1[[#This Row],[Screen_Time_Hrs]]</f>
        <v>8.44827586206897</v>
      </c>
      <c r="N19" s="3" t="str">
        <f>IF(WEEKDAY(Table1[[#This Row],[Date]],2)&lt;=5,"Weekday","Weekend")</f>
        <v>Weekend</v>
      </c>
      <c r="O19" s="3" t="str">
        <f>IF(Table1[[#This Row],[Screen_Time_Hrs]]&gt;=6,"Yes","No")</f>
        <v>No</v>
      </c>
    </row>
    <row r="20" spans="1:15">
      <c r="A20" s="2">
        <v>45676</v>
      </c>
      <c r="B20" s="3">
        <v>3.9</v>
      </c>
      <c r="C20" s="3">
        <v>100</v>
      </c>
      <c r="D20" s="3">
        <v>67</v>
      </c>
      <c r="E20" s="3">
        <v>33</v>
      </c>
      <c r="F20" s="3">
        <v>1</v>
      </c>
      <c r="G20" s="3">
        <v>34</v>
      </c>
      <c r="H20" s="3" t="s">
        <v>28</v>
      </c>
      <c r="I20" s="3">
        <v>1.4</v>
      </c>
      <c r="J20" s="3">
        <v>32</v>
      </c>
      <c r="K20" s="3">
        <v>1.6</v>
      </c>
      <c r="L20" s="3">
        <v>95</v>
      </c>
      <c r="M20" s="3">
        <f>Table1[[#This Row],[Battery_Drain_%]]/Table1[[#This Row],[Screen_Time_Hrs]]</f>
        <v>8.46153846153846</v>
      </c>
      <c r="N20" s="3" t="str">
        <f>IF(WEEKDAY(Table1[[#This Row],[Date]],2)&lt;=5,"Weekday","Weekend")</f>
        <v>Weekend</v>
      </c>
      <c r="O20" s="3" t="str">
        <f>IF(Table1[[#This Row],[Screen_Time_Hrs]]&gt;=6,"Yes","No")</f>
        <v>No</v>
      </c>
    </row>
    <row r="21" spans="1:15">
      <c r="A21" s="2">
        <v>45677</v>
      </c>
      <c r="B21" s="3">
        <v>6.9</v>
      </c>
      <c r="C21" s="3">
        <v>100</v>
      </c>
      <c r="D21" s="3">
        <v>44</v>
      </c>
      <c r="E21" s="3">
        <v>56</v>
      </c>
      <c r="F21" s="3">
        <v>3</v>
      </c>
      <c r="G21" s="3">
        <v>44</v>
      </c>
      <c r="H21" s="3" t="s">
        <v>29</v>
      </c>
      <c r="I21" s="3">
        <v>3.3</v>
      </c>
      <c r="J21" s="3">
        <v>13</v>
      </c>
      <c r="K21" s="3">
        <v>3.2</v>
      </c>
      <c r="L21" s="3">
        <v>95</v>
      </c>
      <c r="M21" s="3">
        <f>Table1[[#This Row],[Battery_Drain_%]]/Table1[[#This Row],[Screen_Time_Hrs]]</f>
        <v>8.11594202898551</v>
      </c>
      <c r="N21" s="3" t="str">
        <f>IF(WEEKDAY(Table1[[#This Row],[Date]],2)&lt;=5,"Weekday","Weekend")</f>
        <v>Weekday</v>
      </c>
      <c r="O21" s="3" t="str">
        <f>IF(Table1[[#This Row],[Screen_Time_Hrs]]&gt;=6,"Yes","No")</f>
        <v>Yes</v>
      </c>
    </row>
    <row r="22" spans="1:15">
      <c r="A22" s="2">
        <v>45678</v>
      </c>
      <c r="B22" s="3">
        <v>4.8</v>
      </c>
      <c r="C22" s="3">
        <v>100</v>
      </c>
      <c r="D22" s="3">
        <v>59</v>
      </c>
      <c r="E22" s="3">
        <v>41</v>
      </c>
      <c r="F22" s="3">
        <v>2</v>
      </c>
      <c r="G22" s="3">
        <v>37</v>
      </c>
      <c r="H22" s="3" t="s">
        <v>27</v>
      </c>
      <c r="I22" s="3">
        <v>2</v>
      </c>
      <c r="J22" s="3">
        <v>20</v>
      </c>
      <c r="K22" s="3">
        <v>2.1</v>
      </c>
      <c r="L22" s="3">
        <v>95</v>
      </c>
      <c r="M22" s="3">
        <f>Table1[[#This Row],[Battery_Drain_%]]/Table1[[#This Row],[Screen_Time_Hrs]]</f>
        <v>8.54166666666667</v>
      </c>
      <c r="N22" s="3" t="str">
        <f>IF(WEEKDAY(Table1[[#This Row],[Date]],2)&lt;=5,"Weekday","Weekend")</f>
        <v>Weekday</v>
      </c>
      <c r="O22" s="3" t="str">
        <f>IF(Table1[[#This Row],[Screen_Time_Hrs]]&gt;=6,"Yes","No")</f>
        <v>No</v>
      </c>
    </row>
    <row r="23" spans="1:15">
      <c r="A23" s="2">
        <v>45679</v>
      </c>
      <c r="B23" s="3">
        <v>5.9</v>
      </c>
      <c r="C23" s="3">
        <v>100</v>
      </c>
      <c r="D23" s="3">
        <v>50</v>
      </c>
      <c r="E23" s="3">
        <v>50</v>
      </c>
      <c r="F23" s="3">
        <v>2</v>
      </c>
      <c r="G23" s="3">
        <v>41</v>
      </c>
      <c r="H23" s="3" t="s">
        <v>26</v>
      </c>
      <c r="I23" s="3">
        <v>2.5</v>
      </c>
      <c r="J23" s="3">
        <v>19</v>
      </c>
      <c r="K23" s="3">
        <v>2.8</v>
      </c>
      <c r="L23" s="3">
        <v>94</v>
      </c>
      <c r="M23" s="3">
        <f>Table1[[#This Row],[Battery_Drain_%]]/Table1[[#This Row],[Screen_Time_Hrs]]</f>
        <v>8.47457627118644</v>
      </c>
      <c r="N23" s="3" t="str">
        <f>IF(WEEKDAY(Table1[[#This Row],[Date]],2)&lt;=5,"Weekday","Weekend")</f>
        <v>Weekday</v>
      </c>
      <c r="O23" s="3" t="str">
        <f>IF(Table1[[#This Row],[Screen_Time_Hrs]]&gt;=6,"Yes","No")</f>
        <v>No</v>
      </c>
    </row>
    <row r="24" spans="1:15">
      <c r="A24" s="2">
        <v>45680</v>
      </c>
      <c r="B24" s="3">
        <v>3.7</v>
      </c>
      <c r="C24" s="3">
        <v>100</v>
      </c>
      <c r="D24" s="3">
        <v>70</v>
      </c>
      <c r="E24" s="3">
        <v>30</v>
      </c>
      <c r="F24" s="3">
        <v>1</v>
      </c>
      <c r="G24" s="3">
        <v>33</v>
      </c>
      <c r="H24" s="3" t="s">
        <v>28</v>
      </c>
      <c r="I24" s="3">
        <v>1</v>
      </c>
      <c r="J24" s="3">
        <v>28</v>
      </c>
      <c r="K24" s="3">
        <v>1.3</v>
      </c>
      <c r="L24" s="3">
        <v>94</v>
      </c>
      <c r="M24" s="3">
        <f>Table1[[#This Row],[Battery_Drain_%]]/Table1[[#This Row],[Screen_Time_Hrs]]</f>
        <v>8.10810810810811</v>
      </c>
      <c r="N24" s="3" t="str">
        <f>IF(WEEKDAY(Table1[[#This Row],[Date]],2)&lt;=5,"Weekday","Weekend")</f>
        <v>Weekday</v>
      </c>
      <c r="O24" s="3" t="str">
        <f>IF(Table1[[#This Row],[Screen_Time_Hrs]]&gt;=6,"Yes","No")</f>
        <v>No</v>
      </c>
    </row>
    <row r="25" spans="1:15">
      <c r="A25" s="2">
        <v>45681</v>
      </c>
      <c r="B25" s="3">
        <v>6.2</v>
      </c>
      <c r="C25" s="3">
        <v>100</v>
      </c>
      <c r="D25" s="3">
        <v>46</v>
      </c>
      <c r="E25" s="3">
        <v>54</v>
      </c>
      <c r="F25" s="3">
        <v>3</v>
      </c>
      <c r="G25" s="3">
        <v>42</v>
      </c>
      <c r="H25" s="3" t="s">
        <v>27</v>
      </c>
      <c r="I25" s="3">
        <v>2.3</v>
      </c>
      <c r="J25" s="3">
        <v>17</v>
      </c>
      <c r="K25" s="3">
        <v>2.7</v>
      </c>
      <c r="L25" s="3">
        <v>94</v>
      </c>
      <c r="M25" s="3">
        <f>Table1[[#This Row],[Battery_Drain_%]]/Table1[[#This Row],[Screen_Time_Hrs]]</f>
        <v>8.70967741935484</v>
      </c>
      <c r="N25" s="3" t="str">
        <f>IF(WEEKDAY(Table1[[#This Row],[Date]],2)&lt;=5,"Weekday","Weekend")</f>
        <v>Weekday</v>
      </c>
      <c r="O25" s="3" t="str">
        <f>IF(Table1[[#This Row],[Screen_Time_Hrs]]&gt;=6,"Yes","No")</f>
        <v>Yes</v>
      </c>
    </row>
    <row r="26" spans="1:15">
      <c r="A26" s="2">
        <v>45682</v>
      </c>
      <c r="B26" s="3">
        <v>5.3</v>
      </c>
      <c r="C26" s="3">
        <v>100</v>
      </c>
      <c r="D26" s="3">
        <v>54</v>
      </c>
      <c r="E26" s="3">
        <v>46</v>
      </c>
      <c r="F26" s="3">
        <v>2</v>
      </c>
      <c r="G26" s="3">
        <v>39</v>
      </c>
      <c r="H26" s="3" t="s">
        <v>26</v>
      </c>
      <c r="I26" s="3">
        <v>2.1</v>
      </c>
      <c r="J26" s="3">
        <v>22</v>
      </c>
      <c r="K26" s="3">
        <v>2.5</v>
      </c>
      <c r="L26" s="3">
        <v>93</v>
      </c>
      <c r="M26" s="3">
        <f>Table1[[#This Row],[Battery_Drain_%]]/Table1[[#This Row],[Screen_Time_Hrs]]</f>
        <v>8.67924528301887</v>
      </c>
      <c r="N26" s="3" t="str">
        <f>IF(WEEKDAY(Table1[[#This Row],[Date]],2)&lt;=5,"Weekday","Weekend")</f>
        <v>Weekend</v>
      </c>
      <c r="O26" s="3" t="str">
        <f>IF(Table1[[#This Row],[Screen_Time_Hrs]]&gt;=6,"Yes","No")</f>
        <v>No</v>
      </c>
    </row>
    <row r="27" spans="1:15">
      <c r="A27" s="2">
        <v>45683</v>
      </c>
      <c r="B27" s="3">
        <v>4.4</v>
      </c>
      <c r="C27" s="3">
        <v>100</v>
      </c>
      <c r="D27" s="3">
        <v>63</v>
      </c>
      <c r="E27" s="3">
        <v>37</v>
      </c>
      <c r="F27" s="3">
        <v>1</v>
      </c>
      <c r="G27" s="3">
        <v>36</v>
      </c>
      <c r="H27" s="3" t="s">
        <v>28</v>
      </c>
      <c r="I27" s="3">
        <v>1.2</v>
      </c>
      <c r="J27" s="3">
        <v>33</v>
      </c>
      <c r="K27" s="3">
        <v>1.9</v>
      </c>
      <c r="L27" s="3">
        <v>93</v>
      </c>
      <c r="M27" s="3">
        <f>Table1[[#This Row],[Battery_Drain_%]]/Table1[[#This Row],[Screen_Time_Hrs]]</f>
        <v>8.40909090909091</v>
      </c>
      <c r="N27" s="3" t="str">
        <f>IF(WEEKDAY(Table1[[#This Row],[Date]],2)&lt;=5,"Weekday","Weekend")</f>
        <v>Weekend</v>
      </c>
      <c r="O27" s="3" t="str">
        <f>IF(Table1[[#This Row],[Screen_Time_Hrs]]&gt;=6,"Yes","No")</f>
        <v>No</v>
      </c>
    </row>
    <row r="28" spans="1:15">
      <c r="A28" s="2">
        <v>45684</v>
      </c>
      <c r="B28" s="3">
        <v>7.1</v>
      </c>
      <c r="C28" s="3">
        <v>100</v>
      </c>
      <c r="D28" s="3">
        <v>43</v>
      </c>
      <c r="E28" s="3">
        <v>57</v>
      </c>
      <c r="F28" s="3">
        <v>3</v>
      </c>
      <c r="G28" s="3">
        <v>45</v>
      </c>
      <c r="H28" s="3" t="s">
        <v>29</v>
      </c>
      <c r="I28" s="3">
        <v>3.6</v>
      </c>
      <c r="J28" s="3">
        <v>14</v>
      </c>
      <c r="K28" s="3">
        <v>3.5</v>
      </c>
      <c r="L28" s="3">
        <v>93</v>
      </c>
      <c r="M28" s="3">
        <f>Table1[[#This Row],[Battery_Drain_%]]/Table1[[#This Row],[Screen_Time_Hrs]]</f>
        <v>8.02816901408451</v>
      </c>
      <c r="N28" s="3" t="str">
        <f>IF(WEEKDAY(Table1[[#This Row],[Date]],2)&lt;=5,"Weekday","Weekend")</f>
        <v>Weekday</v>
      </c>
      <c r="O28" s="3" t="str">
        <f>IF(Table1[[#This Row],[Screen_Time_Hrs]]&gt;=6,"Yes","No")</f>
        <v>Yes</v>
      </c>
    </row>
    <row r="29" spans="1:15">
      <c r="A29" s="2">
        <v>45685</v>
      </c>
      <c r="B29" s="3">
        <v>6.3</v>
      </c>
      <c r="C29" s="3">
        <v>100</v>
      </c>
      <c r="D29" s="3">
        <v>48</v>
      </c>
      <c r="E29" s="3">
        <v>52</v>
      </c>
      <c r="F29" s="3">
        <v>2</v>
      </c>
      <c r="G29" s="3">
        <v>41</v>
      </c>
      <c r="H29" s="3" t="s">
        <v>27</v>
      </c>
      <c r="I29" s="3">
        <v>2.7</v>
      </c>
      <c r="J29" s="3">
        <v>21</v>
      </c>
      <c r="K29" s="3">
        <v>2.9</v>
      </c>
      <c r="L29" s="3">
        <v>92</v>
      </c>
      <c r="M29" s="3">
        <f>Table1[[#This Row],[Battery_Drain_%]]/Table1[[#This Row],[Screen_Time_Hrs]]</f>
        <v>8.25396825396825</v>
      </c>
      <c r="N29" s="3" t="str">
        <f>IF(WEEKDAY(Table1[[#This Row],[Date]],2)&lt;=5,"Weekday","Weekend")</f>
        <v>Weekday</v>
      </c>
      <c r="O29" s="3" t="str">
        <f>IF(Table1[[#This Row],[Screen_Time_Hrs]]&gt;=6,"Yes","No")</f>
        <v>Yes</v>
      </c>
    </row>
    <row r="30" spans="1:15">
      <c r="A30" s="2">
        <v>45686</v>
      </c>
      <c r="B30" s="3">
        <v>4.3</v>
      </c>
      <c r="C30" s="3">
        <v>100</v>
      </c>
      <c r="D30" s="3">
        <v>64</v>
      </c>
      <c r="E30" s="3">
        <v>36</v>
      </c>
      <c r="F30" s="3">
        <v>1</v>
      </c>
      <c r="G30" s="3">
        <v>35</v>
      </c>
      <c r="H30" s="3" t="s">
        <v>26</v>
      </c>
      <c r="I30" s="3">
        <v>1.9</v>
      </c>
      <c r="J30" s="3">
        <v>27</v>
      </c>
      <c r="K30" s="3">
        <v>1.8</v>
      </c>
      <c r="L30" s="3">
        <v>92</v>
      </c>
      <c r="M30" s="3">
        <f>Table1[[#This Row],[Battery_Drain_%]]/Table1[[#This Row],[Screen_Time_Hrs]]</f>
        <v>8.37209302325581</v>
      </c>
      <c r="N30" s="3" t="str">
        <f>IF(WEEKDAY(Table1[[#This Row],[Date]],2)&lt;=5,"Weekday","Weekend")</f>
        <v>Weekday</v>
      </c>
      <c r="O30" s="3" t="str">
        <f>IF(Table1[[#This Row],[Screen_Time_Hrs]]&gt;=6,"Yes","No")</f>
        <v>No</v>
      </c>
    </row>
    <row r="31" spans="1:15">
      <c r="A31" s="2">
        <v>45687</v>
      </c>
      <c r="B31" s="3">
        <v>5.6</v>
      </c>
      <c r="C31" s="3">
        <v>100</v>
      </c>
      <c r="D31" s="3">
        <v>55</v>
      </c>
      <c r="E31" s="3">
        <v>45</v>
      </c>
      <c r="F31" s="3">
        <v>2</v>
      </c>
      <c r="G31" s="3">
        <v>38</v>
      </c>
      <c r="H31" s="3" t="s">
        <v>27</v>
      </c>
      <c r="I31" s="3">
        <v>2.2</v>
      </c>
      <c r="J31" s="3">
        <v>24</v>
      </c>
      <c r="K31" s="3">
        <v>2.4</v>
      </c>
      <c r="L31" s="3">
        <v>92</v>
      </c>
      <c r="M31" s="3">
        <f>Table1[[#This Row],[Battery_Drain_%]]/Table1[[#This Row],[Screen_Time_Hrs]]</f>
        <v>8.03571428571429</v>
      </c>
      <c r="N31" s="3" t="str">
        <f>IF(WEEKDAY(Table1[[#This Row],[Date]],2)&lt;=5,"Weekday","Weekend")</f>
        <v>Weekday</v>
      </c>
      <c r="O31" s="3" t="str">
        <f>IF(Table1[[#This Row],[Screen_Time_Hrs]]&gt;=6,"Yes","No")</f>
        <v>No</v>
      </c>
    </row>
  </sheetData>
  <pageMargins left="0.7" right="0.7" top="0.75" bottom="0.75" header="0.3" footer="0.3"/>
  <headerFooter/>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Sheet2</vt:lpstr>
      <vt:lpstr>Sheet7</vt:lpstr>
      <vt:lpstr>Sheet3</vt:lpstr>
      <vt:lpstr>Sheet4</vt:lpstr>
      <vt:lpstr>Sheet5</vt:lpstr>
      <vt:lpstr>Sheet6</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Vamshi Esam</dc:creator>
  <cp:lastModifiedBy>Eesam Vamshi</cp:lastModifiedBy>
  <dcterms:created xsi:type="dcterms:W3CDTF">2025-11-15T15:41:00Z</dcterms:created>
  <cp:lastPrinted>2025-11-16T07:06:00Z</cp:lastPrinted>
  <dcterms:modified xsi:type="dcterms:W3CDTF">2025-11-17T17:41:05Z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7ED8D5FB2C0D4D3C9DD2E6B536CD6CD8_12</vt:lpwstr>
  </property>
  <property fmtid="{D5CDD505-2E9C-101B-9397-08002B2CF9AE}" pid="3" name="KSOProductBuildVer">
    <vt:lpwstr>1033-12.2.0.23155</vt:lpwstr>
  </property>
</Properties>
</file>