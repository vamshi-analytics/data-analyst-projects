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4652c4fce2d5ab/Desktop/"/>
    </mc:Choice>
  </mc:AlternateContent>
  <xr:revisionPtr revIDLastSave="136" documentId="8_{BFA59AEF-BBEB-40B3-BA29-E439686BEEE8}" xr6:coauthVersionLast="47" xr6:coauthVersionMax="47" xr10:uidLastSave="{1C6D6D9B-034F-424C-956E-4B8E3AE59C45}"/>
  <bookViews>
    <workbookView xWindow="-108" yWindow="-108" windowWidth="23256" windowHeight="12456" xr2:uid="{A9560D1E-EA9E-431F-B0EE-1DFC86568D31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1" sheetId="1" r:id="rId6"/>
  </sheets>
  <calcPr calcId="191029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</calcChain>
</file>

<file path=xl/sharedStrings.xml><?xml version="1.0" encoding="utf-8"?>
<sst xmlns="http://schemas.openxmlformats.org/spreadsheetml/2006/main" count="81" uniqueCount="40">
  <si>
    <t>Date</t>
  </si>
  <si>
    <t>Screen_Time_Hrs</t>
  </si>
  <si>
    <t>Battery_Start_%</t>
  </si>
  <si>
    <t>Battery_End_%</t>
  </si>
  <si>
    <t>Battery_Drain_%</t>
  </si>
  <si>
    <t>Charging_Sessions</t>
  </si>
  <si>
    <t>Max_Temperature_C</t>
  </si>
  <si>
    <t>Top_App_Used</t>
  </si>
  <si>
    <t>App_Usage_Hrs</t>
  </si>
  <si>
    <t>Calls_Duration_Min</t>
  </si>
  <si>
    <t>Internet_Usage_GB</t>
  </si>
  <si>
    <t>Battery_Health</t>
  </si>
  <si>
    <t>YouTube</t>
  </si>
  <si>
    <t>Instagram</t>
  </si>
  <si>
    <t>WhatsApp</t>
  </si>
  <si>
    <t>BGMI</t>
  </si>
  <si>
    <t>Battery_Drain_per_Hour</t>
  </si>
  <si>
    <t>Day_Type</t>
  </si>
  <si>
    <t>High_Screen_Time</t>
  </si>
  <si>
    <t>Avg Battery Drain %</t>
  </si>
  <si>
    <t>Avg Charging Sessions</t>
  </si>
  <si>
    <t>Avg Battery Health</t>
  </si>
  <si>
    <t>Average of Screen_Time_Hrs</t>
  </si>
  <si>
    <t>Average of Battery_Drain_%</t>
  </si>
  <si>
    <t>Avg Screen Time Hrs</t>
  </si>
  <si>
    <t>Row Labels</t>
  </si>
  <si>
    <t>Grand Total</t>
  </si>
  <si>
    <t>Weekday</t>
  </si>
  <si>
    <t>Weekend</t>
  </si>
  <si>
    <t>Sum of App_Usage_Hrs</t>
  </si>
  <si>
    <t>Mobile Battery Usage Analysis Dashboard</t>
  </si>
  <si>
    <t>Insights:</t>
  </si>
  <si>
    <t>• Battery health dropped from 100% → 92% in 30 days.</t>
  </si>
  <si>
    <t>• BGMI causes the highest battery drain (55%).</t>
  </si>
  <si>
    <t>• Weekdays have higher screen time (5.4 hrs) than weekends (5.05 hrs).</t>
  </si>
  <si>
    <t>• High temperature increases battery drain.</t>
  </si>
  <si>
    <t>• YouTube and Instagram have highest usage.</t>
  </si>
  <si>
    <t>Conclusion:</t>
  </si>
  <si>
    <t>User behavior, usage patterns, and temperature strongly affect battery performance.</t>
  </si>
  <si>
    <t>Reducing high-drain apps and lowering screen time helps improve battery life.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</si>
</sst>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3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26"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/>
    </dxf>
    <dxf>
      <alignment horizontal="center"/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[Mobile_Battery_Dashboard.xlsx]Sheet3!PivotTable4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Battery Drain by App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2630402722351319E-2"/>
          <c:y val="9.2569344686999205E-2"/>
          <c:w val="0.90857898437764051"/>
          <c:h val="0.831245433069558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Sheet3!$A$4:$A$8</c:f>
              <c:strCache>
                <c:ptCount val="4"/>
                <c:pt idx="0">
                  <c:v>BGMI</c:v>
                </c:pt>
                <c:pt idx="1">
                  <c:v>Instagram</c:v>
                </c:pt>
                <c:pt idx="2">
                  <c:v>WhatsApp</c:v>
                </c:pt>
                <c:pt idx="3">
                  <c:v>YouTube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55.6</c:v>
                </c:pt>
                <c:pt idx="1">
                  <c:v>45.222222222222221</c:v>
                </c:pt>
                <c:pt idx="2">
                  <c:v>33.142857142857146</c:v>
                </c:pt>
                <c:pt idx="3">
                  <c:v>47.777777777777779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7-4A89-B8EC-7A9A32E977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8148623"/>
        <c:axId val="28151023"/>
      </c:barChart>
      <c:catAx>
        <c:axId val="2814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51023"/>
        <c:crosses val="autoZero"/>
        <c:auto val="1"/>
        <c:lblAlgn val="ctr"/>
        <c:lblOffset val="100"/>
        <c:noMultiLvlLbl val="0"/>
      </c:catAx>
      <c:valAx>
        <c:axId val="28151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4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[Mobile_Battery_Dashboard.xlsx]Sheet5!PivotTable6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Temperature vs Battery</a:t>
            </a:r>
            <a:r>
              <a:rPr lang="en-IN" baseline="0"/>
              <a:t> Drain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639111111111112"/>
          <c:y val="0.11412134913025422"/>
          <c:w val="0.83059241640681625"/>
          <c:h val="0.78006393303252008"/>
        </c:manualLayout>
      </c:layout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Sheet5!$A$4:$A$17</c:f>
              <c:strCache>
                <c:ptCount val="13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  <c:pt idx="8">
                  <c:v>41</c:v>
                </c:pt>
                <c:pt idx="9">
                  <c:v>42</c:v>
                </c:pt>
                <c:pt idx="10">
                  <c:v>43</c:v>
                </c:pt>
                <c:pt idx="11">
                  <c:v>44</c:v>
                </c:pt>
                <c:pt idx="12">
                  <c:v>45</c:v>
                </c:pt>
              </c:strCache>
            </c:strRef>
          </c:cat>
          <c:val>
            <c:numRef>
              <c:f>Sheet5!$B$4:$B$17</c:f>
              <c:numCache>
                <c:formatCode>General</c:formatCode>
                <c:ptCount val="13"/>
                <c:pt idx="0">
                  <c:v>30.5</c:v>
                </c:pt>
                <c:pt idx="1">
                  <c:v>32.5</c:v>
                </c:pt>
                <c:pt idx="2">
                  <c:v>35</c:v>
                </c:pt>
                <c:pt idx="3">
                  <c:v>36.666666666666664</c:v>
                </c:pt>
                <c:pt idx="4">
                  <c:v>40</c:v>
                </c:pt>
                <c:pt idx="5">
                  <c:v>43.333333333333336</c:v>
                </c:pt>
                <c:pt idx="6">
                  <c:v>45.666666666666664</c:v>
                </c:pt>
                <c:pt idx="7">
                  <c:v>48.5</c:v>
                </c:pt>
                <c:pt idx="8">
                  <c:v>51.333333333333336</c:v>
                </c:pt>
                <c:pt idx="9">
                  <c:v>52.5</c:v>
                </c:pt>
                <c:pt idx="10">
                  <c:v>55.5</c:v>
                </c:pt>
                <c:pt idx="11">
                  <c:v>55.5</c:v>
                </c:pt>
                <c:pt idx="12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F9-4FA4-B071-F348E70109A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851311"/>
        <c:axId val="20849391"/>
      </c:lineChart>
      <c:catAx>
        <c:axId val="20851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9391"/>
        <c:crosses val="autoZero"/>
        <c:auto val="1"/>
        <c:lblAlgn val="ctr"/>
        <c:lblOffset val="100"/>
        <c:noMultiLvlLbl val="0"/>
      </c:catAx>
      <c:valAx>
        <c:axId val="20849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1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[Mobile_Battery_Dashboard.xlsx]Sheet6!PivotTable7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App Usage</a:t>
            </a:r>
            <a:r>
              <a:rPr lang="en-IN" baseline="0"/>
              <a:t>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800942604653408"/>
          <c:y val="0.24731107529520802"/>
          <c:w val="0.58220459957329929"/>
          <c:h val="0.5973052170636759"/>
        </c:manualLayout>
      </c:layout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31-4A11-B600-83B3EF8DFF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31-4A11-B600-83B3EF8DFF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31-4A11-B600-83B3EF8DFF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331-4A11-B600-83B3EF8DFF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Sheet6!$A$4:$A$8</c:f>
              <c:strCache>
                <c:ptCount val="4"/>
                <c:pt idx="0">
                  <c:v>BGMI</c:v>
                </c:pt>
                <c:pt idx="1">
                  <c:v>Instagram</c:v>
                </c:pt>
                <c:pt idx="2">
                  <c:v>WhatsApp</c:v>
                </c:pt>
                <c:pt idx="3">
                  <c:v>YouTube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16.8</c:v>
                </c:pt>
                <c:pt idx="1">
                  <c:v>19.999999999999996</c:v>
                </c:pt>
                <c:pt idx="2">
                  <c:v>8.6999999999999993</c:v>
                </c:pt>
                <c:pt idx="3">
                  <c:v>21.700000000000003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331-4A11-B600-83B3EF8DFF8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[Mobile_Battery_Dashboard.xlsx]Sheet4!PivotTable5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Screen Time-</a:t>
            </a:r>
            <a:r>
              <a:rPr lang="en-US"/>
              <a:t>Weekday vs  Weekend</a:t>
            </a:r>
          </a:p>
        </c:rich>
      </c:tx>
      <c:layout>
        <c:manualLayout>
          <c:xMode val="edge"/>
          <c:yMode val="edge"/>
          <c:x val="0.86407411240493304"/>
          <c:y val="3.40731144048786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029596037858721"/>
          <c:y val="0.31616099886924615"/>
          <c:w val="0.8964746281714786"/>
          <c:h val="0.59732644390691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Sheet4!$A$4:$A$6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5.4454545454545453</c:v>
                </c:pt>
                <c:pt idx="1">
                  <c:v>5.05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D6-4B19-AE1D-C358B68E45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45389295"/>
        <c:axId val="2045390735"/>
      </c:barChart>
      <c:catAx>
        <c:axId val="204538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390735"/>
        <c:crosses val="autoZero"/>
        <c:auto val="1"/>
        <c:lblAlgn val="ctr"/>
        <c:lblOffset val="100"/>
        <c:noMultiLvlLbl val="0"/>
      </c:catAx>
      <c:valAx>
        <c:axId val="2045390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389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Battery</a:t>
            </a:r>
            <a:r>
              <a:rPr lang="en-IN" baseline="0"/>
              <a:t> Health Over 30 Days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Sheet1!$A$2:$A$31</c:f>
              <c:numCache>
                <c:formatCode>m/d/yyyy</c:formatCode>
                <c:ptCount val="30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</c:numCache>
            </c:numRef>
          </c:cat>
          <c:val>
            <c:numRef>
              <c:f>Sheet1!$L$2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AA-4EB9-A8A4-1E8A7099D949}"/>
            </c:ext>
          </c:extLst>
        </c:ser>
        <c:ser>
          <c:idx val="1"/>
          <c:order val="1"/>
          <c:tx>
            <c:strRef>
              <c:f>Sheet1!$L:$L</c:f>
              <c:strCache>
                <c:ptCount val="1048576"/>
                <c:pt idx="0">
                  <c:v>Battery_Health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  <c:pt idx="7">
                  <c:v>99</c:v>
                </c:pt>
                <c:pt idx="8">
                  <c:v>98</c:v>
                </c:pt>
                <c:pt idx="9">
                  <c:v>98</c:v>
                </c:pt>
                <c:pt idx="10">
                  <c:v>98</c:v>
                </c:pt>
                <c:pt idx="11">
                  <c:v>98</c:v>
                </c:pt>
                <c:pt idx="12">
                  <c:v>97</c:v>
                </c:pt>
                <c:pt idx="13">
                  <c:v>97</c:v>
                </c:pt>
                <c:pt idx="14">
                  <c:v>97</c:v>
                </c:pt>
                <c:pt idx="15">
                  <c:v>96</c:v>
                </c:pt>
                <c:pt idx="16">
                  <c:v>96</c:v>
                </c:pt>
                <c:pt idx="17">
                  <c:v>96</c:v>
                </c:pt>
                <c:pt idx="18">
                  <c:v>95</c:v>
                </c:pt>
                <c:pt idx="19">
                  <c:v>95</c:v>
                </c:pt>
                <c:pt idx="20">
                  <c:v>95</c:v>
                </c:pt>
                <c:pt idx="21">
                  <c:v>95</c:v>
                </c:pt>
                <c:pt idx="22">
                  <c:v>94</c:v>
                </c:pt>
                <c:pt idx="23">
                  <c:v>94</c:v>
                </c:pt>
                <c:pt idx="24">
                  <c:v>94</c:v>
                </c:pt>
                <c:pt idx="25">
                  <c:v>93</c:v>
                </c:pt>
                <c:pt idx="26">
                  <c:v>93</c:v>
                </c:pt>
                <c:pt idx="27">
                  <c:v>93</c:v>
                </c:pt>
                <c:pt idx="28">
                  <c:v>92</c:v>
                </c:pt>
                <c:pt idx="29">
                  <c:v>92</c:v>
                </c:pt>
                <c:pt idx="30">
                  <c:v>92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Sheet1!$A$2:$A$31</c:f>
              <c:numCache>
                <c:formatCode>m/d/yyyy</c:formatCode>
                <c:ptCount val="30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</c:numCache>
            </c:numRef>
          </c:cat>
          <c:val>
            <c:numRef>
              <c:f>Sheet1!$L$2:$L$31</c:f>
              <c:numCache>
                <c:formatCode>General</c:formatCode>
                <c:ptCount val="3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  <c:pt idx="7">
                  <c:v>98</c:v>
                </c:pt>
                <c:pt idx="8">
                  <c:v>98</c:v>
                </c:pt>
                <c:pt idx="9">
                  <c:v>98</c:v>
                </c:pt>
                <c:pt idx="10">
                  <c:v>98</c:v>
                </c:pt>
                <c:pt idx="11">
                  <c:v>97</c:v>
                </c:pt>
                <c:pt idx="12">
                  <c:v>97</c:v>
                </c:pt>
                <c:pt idx="13">
                  <c:v>97</c:v>
                </c:pt>
                <c:pt idx="14">
                  <c:v>96</c:v>
                </c:pt>
                <c:pt idx="15">
                  <c:v>96</c:v>
                </c:pt>
                <c:pt idx="16">
                  <c:v>96</c:v>
                </c:pt>
                <c:pt idx="17">
                  <c:v>95</c:v>
                </c:pt>
                <c:pt idx="18">
                  <c:v>95</c:v>
                </c:pt>
                <c:pt idx="19">
                  <c:v>95</c:v>
                </c:pt>
                <c:pt idx="20">
                  <c:v>95</c:v>
                </c:pt>
                <c:pt idx="21">
                  <c:v>94</c:v>
                </c:pt>
                <c:pt idx="22">
                  <c:v>94</c:v>
                </c:pt>
                <c:pt idx="23">
                  <c:v>94</c:v>
                </c:pt>
                <c:pt idx="24">
                  <c:v>93</c:v>
                </c:pt>
                <c:pt idx="25">
                  <c:v>93</c:v>
                </c:pt>
                <c:pt idx="26">
                  <c:v>93</c:v>
                </c:pt>
                <c:pt idx="27">
                  <c:v>92</c:v>
                </c:pt>
                <c:pt idx="28">
                  <c:v>92</c:v>
                </c:pt>
                <c:pt idx="29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AA-4EB9-A8A4-1E8A7099D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300191"/>
        <c:axId val="78298271"/>
      </c:lineChart>
      <c:dateAx>
        <c:axId val="7830019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98271"/>
        <c:crosses val="autoZero"/>
        <c:auto val="1"/>
        <c:lblOffset val="100"/>
        <c:baseTimeUnit val="days"/>
      </c:dateAx>
      <c:valAx>
        <c:axId val="7829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0019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824040</xdr:colOff>
      <xdr:row>6</xdr:row>
      <xdr:rowOff>16579</xdr:rowOff>
    </xdr:from>
    <xdr:to>
      <xdr:col>9</xdr:col>
      <xdr:colOff>269326</xdr:colOff>
      <xdr:row>17</xdr:row>
      <xdr:rowOff>180864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51389A-397F-4C7F-B2DD-893D3D5FF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710073</xdr:colOff>
      <xdr:row>6</xdr:row>
      <xdr:rowOff>16579</xdr:rowOff>
    </xdr:from>
    <xdr:to>
      <xdr:col>3</xdr:col>
      <xdr:colOff>563573</xdr:colOff>
      <xdr:row>17</xdr:row>
      <xdr:rowOff>180864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485A92-689C-4E60-99DE-F36A009F9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529793</xdr:colOff>
      <xdr:row>6</xdr:row>
      <xdr:rowOff>16579</xdr:rowOff>
    </xdr:from>
    <xdr:to>
      <xdr:col>15</xdr:col>
      <xdr:colOff>483078</xdr:colOff>
      <xdr:row>17</xdr:row>
      <xdr:rowOff>180864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D1C4FB-41F0-46F8-AF67-19A3A39ADE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135759</xdr:colOff>
      <xdr:row>6</xdr:row>
      <xdr:rowOff>16579</xdr:rowOff>
    </xdr:from>
    <xdr:to>
      <xdr:col>22</xdr:col>
      <xdr:colOff>89044</xdr:colOff>
      <xdr:row>17</xdr:row>
      <xdr:rowOff>180864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59DB608-4F4C-9EFD-8E8D-10DFDBF94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716280</xdr:colOff>
      <xdr:row>6</xdr:row>
      <xdr:rowOff>41910</xdr:rowOff>
    </xdr:from>
    <xdr:to>
      <xdr:col>8</xdr:col>
      <xdr:colOff>533400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86ABF1-DD6A-5680-424F-A4D44F161E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mshi" refreshedDate="45976.916734837963" createdVersion="8" refreshedVersion="8" minRefreshableVersion="3" recordCount="30" xr:uid="{5B181C81-5AF6-4857-92B6-EC78D86C54ED}">
  <cacheSource type="worksheet">
    <worksheetSource name="Table1"/>
  </cacheSource>
  <cacheFields count="15">
    <cacheField name="Date" numFmtId="14">
      <sharedItems containsSemiMixedTypes="0" containsNonDate="0" containsDate="1" containsString="0" minDate="2025-01-01T00:00:00" maxDate="2025-01-31T00:00:00"/>
    </cacheField>
    <cacheField name="Screen_Time_Hrs" numFmtId="0">
      <sharedItems containsSemiMixedTypes="0" containsString="0" containsNumber="1" minValue="3.5" maxValue="7.4"/>
    </cacheField>
    <cacheField name="Battery_Start_%" numFmtId="0">
      <sharedItems containsSemiMixedTypes="0" containsString="0" containsNumber="1" containsInteger="1" minValue="100" maxValue="100"/>
    </cacheField>
    <cacheField name="Battery_End_%" numFmtId="0">
      <sharedItems containsSemiMixedTypes="0" containsString="0" containsNumber="1" containsInteger="1" minValue="41" maxValue="70"/>
    </cacheField>
    <cacheField name="Battery_Drain_%" numFmtId="0">
      <sharedItems containsSemiMixedTypes="0" containsString="0" containsNumber="1" containsInteger="1" minValue="30" maxValue="59"/>
    </cacheField>
    <cacheField name="Charging_Sessions" numFmtId="0">
      <sharedItems containsSemiMixedTypes="0" containsString="0" containsNumber="1" containsInteger="1" minValue="1" maxValue="3"/>
    </cacheField>
    <cacheField name="Max_Temperature_C" numFmtId="0">
      <sharedItems containsSemiMixedTypes="0" containsString="0" containsNumber="1" containsInteger="1" minValue="33" maxValue="45" count="13">
        <n v="36"/>
        <n v="38"/>
        <n v="34"/>
        <n v="41"/>
        <n v="39"/>
        <n v="35"/>
        <n v="43"/>
        <n v="44"/>
        <n v="37"/>
        <n v="40"/>
        <n v="33"/>
        <n v="42"/>
        <n v="45"/>
      </sharedItems>
    </cacheField>
    <cacheField name="Top_App_Used" numFmtId="0">
      <sharedItems count="4">
        <s v="YouTube"/>
        <s v="Instagram"/>
        <s v="WhatsApp"/>
        <s v="BGMI"/>
      </sharedItems>
    </cacheField>
    <cacheField name="App_Usage_Hrs" numFmtId="0">
      <sharedItems containsSemiMixedTypes="0" containsString="0" containsNumber="1" minValue="1" maxValue="3.6"/>
    </cacheField>
    <cacheField name="Calls_Duration_Min" numFmtId="0">
      <sharedItems containsSemiMixedTypes="0" containsString="0" containsNumber="1" containsInteger="1" minValue="10" maxValue="42"/>
    </cacheField>
    <cacheField name="Internet_Usage_GB" numFmtId="0">
      <sharedItems containsSemiMixedTypes="0" containsString="0" containsNumber="1" minValue="1.3" maxValue="3.7"/>
    </cacheField>
    <cacheField name="Battery_Health" numFmtId="0">
      <sharedItems containsSemiMixedTypes="0" containsString="0" containsNumber="1" containsInteger="1" minValue="92" maxValue="100"/>
    </cacheField>
    <cacheField name="Battery_Drain_per_Hour" numFmtId="0">
      <sharedItems containsSemiMixedTypes="0" containsString="0" containsNumber="1" minValue="7.9729729729729728" maxValue="9.0476190476190474"/>
    </cacheField>
    <cacheField name="Day_Type" numFmtId="0">
      <sharedItems count="2">
        <s v="Weekday"/>
        <s v="Weekend"/>
      </sharedItems>
    </cacheField>
    <cacheField name="High_Screen_Ti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5-01-01T00:00:00"/>
    <n v="4.2"/>
    <n v="100"/>
    <n v="62"/>
    <n v="38"/>
    <n v="2"/>
    <x v="0"/>
    <x v="0"/>
    <n v="1.8"/>
    <n v="22"/>
    <n v="1.9"/>
    <n v="100"/>
    <n v="9.0476190476190474"/>
    <x v="0"/>
    <s v="No"/>
  </r>
  <r>
    <d v="2025-01-02T00:00:00"/>
    <n v="5"/>
    <n v="100"/>
    <n v="55"/>
    <n v="45"/>
    <n v="2"/>
    <x v="1"/>
    <x v="1"/>
    <n v="2.4"/>
    <n v="15"/>
    <n v="2.1"/>
    <n v="100"/>
    <n v="9"/>
    <x v="0"/>
    <s v="No"/>
  </r>
  <r>
    <d v="2025-01-03T00:00:00"/>
    <n v="3.8"/>
    <n v="100"/>
    <n v="68"/>
    <n v="32"/>
    <n v="1"/>
    <x v="2"/>
    <x v="2"/>
    <n v="1.1000000000000001"/>
    <n v="35"/>
    <n v="1.4"/>
    <n v="100"/>
    <n v="8.4210526315789469"/>
    <x v="0"/>
    <s v="No"/>
  </r>
  <r>
    <d v="2025-01-04T00:00:00"/>
    <n v="6.1"/>
    <n v="100"/>
    <n v="48"/>
    <n v="52"/>
    <n v="3"/>
    <x v="3"/>
    <x v="0"/>
    <n v="2.7"/>
    <n v="28"/>
    <n v="3.2"/>
    <n v="99"/>
    <n v="8.5245901639344268"/>
    <x v="1"/>
    <s v="Yes"/>
  </r>
  <r>
    <d v="2025-01-05T00:00:00"/>
    <n v="5.4"/>
    <n v="100"/>
    <n v="53"/>
    <n v="47"/>
    <n v="2"/>
    <x v="4"/>
    <x v="1"/>
    <n v="2.1"/>
    <n v="18"/>
    <n v="2.4"/>
    <n v="99"/>
    <n v="8.7037037037037024"/>
    <x v="1"/>
    <s v="No"/>
  </r>
  <r>
    <d v="2025-01-06T00:00:00"/>
    <n v="4"/>
    <n v="100"/>
    <n v="66"/>
    <n v="34"/>
    <n v="1"/>
    <x v="5"/>
    <x v="2"/>
    <n v="1.5"/>
    <n v="40"/>
    <n v="1.7"/>
    <n v="99"/>
    <n v="8.5"/>
    <x v="0"/>
    <s v="No"/>
  </r>
  <r>
    <d v="2025-01-07T00:00:00"/>
    <n v="7.2"/>
    <n v="100"/>
    <n v="42"/>
    <n v="58"/>
    <n v="3"/>
    <x v="6"/>
    <x v="3"/>
    <n v="3.4"/>
    <n v="10"/>
    <n v="3.6"/>
    <n v="99"/>
    <n v="8.0555555555555554"/>
    <x v="0"/>
    <s v="Yes"/>
  </r>
  <r>
    <d v="2025-01-08T00:00:00"/>
    <n v="6.8"/>
    <n v="100"/>
    <n v="45"/>
    <n v="55"/>
    <n v="3"/>
    <x v="7"/>
    <x v="0"/>
    <n v="2.9"/>
    <n v="25"/>
    <n v="3.3"/>
    <n v="98"/>
    <n v="8.0882352941176467"/>
    <x v="0"/>
    <s v="Yes"/>
  </r>
  <r>
    <d v="2025-01-09T00:00:00"/>
    <n v="4.5"/>
    <n v="100"/>
    <n v="61"/>
    <n v="39"/>
    <n v="2"/>
    <x v="8"/>
    <x v="1"/>
    <n v="2.2000000000000002"/>
    <n v="12"/>
    <n v="2"/>
    <n v="98"/>
    <n v="8.6666666666666661"/>
    <x v="0"/>
    <s v="No"/>
  </r>
  <r>
    <d v="2025-01-10T00:00:00"/>
    <n v="5.7"/>
    <n v="100"/>
    <n v="52"/>
    <n v="48"/>
    <n v="2"/>
    <x v="9"/>
    <x v="3"/>
    <n v="3"/>
    <n v="18"/>
    <n v="2.8"/>
    <n v="98"/>
    <n v="8.4210526315789469"/>
    <x v="0"/>
    <s v="No"/>
  </r>
  <r>
    <d v="2025-01-11T00:00:00"/>
    <n v="3.5"/>
    <n v="100"/>
    <n v="69"/>
    <n v="31"/>
    <n v="1"/>
    <x v="10"/>
    <x v="2"/>
    <n v="1.2"/>
    <n v="30"/>
    <n v="1.5"/>
    <n v="98"/>
    <n v="8.8571428571428577"/>
    <x v="1"/>
    <s v="No"/>
  </r>
  <r>
    <d v="2025-01-12T00:00:00"/>
    <n v="6"/>
    <n v="100"/>
    <n v="49"/>
    <n v="51"/>
    <n v="3"/>
    <x v="11"/>
    <x v="0"/>
    <n v="2.6"/>
    <n v="20"/>
    <n v="3"/>
    <n v="97"/>
    <n v="8.5"/>
    <x v="1"/>
    <s v="Yes"/>
  </r>
  <r>
    <d v="2025-01-13T00:00:00"/>
    <n v="5.2"/>
    <n v="100"/>
    <n v="56"/>
    <n v="44"/>
    <n v="2"/>
    <x v="4"/>
    <x v="1"/>
    <n v="2"/>
    <n v="14"/>
    <n v="2.2000000000000002"/>
    <n v="97"/>
    <n v="8.4615384615384617"/>
    <x v="0"/>
    <s v="No"/>
  </r>
  <r>
    <d v="2025-01-14T00:00:00"/>
    <n v="4.0999999999999996"/>
    <n v="100"/>
    <n v="65"/>
    <n v="35"/>
    <n v="1"/>
    <x v="0"/>
    <x v="2"/>
    <n v="1.3"/>
    <n v="42"/>
    <n v="1.8"/>
    <n v="97"/>
    <n v="8.536585365853659"/>
    <x v="0"/>
    <s v="No"/>
  </r>
  <r>
    <d v="2025-01-15T00:00:00"/>
    <n v="7.4"/>
    <n v="100"/>
    <n v="41"/>
    <n v="59"/>
    <n v="3"/>
    <x v="12"/>
    <x v="3"/>
    <n v="3.5"/>
    <n v="15"/>
    <n v="3.7"/>
    <n v="96"/>
    <n v="7.9729729729729728"/>
    <x v="0"/>
    <s v="Yes"/>
  </r>
  <r>
    <d v="2025-01-16T00:00:00"/>
    <n v="6.5"/>
    <n v="100"/>
    <n v="47"/>
    <n v="53"/>
    <n v="3"/>
    <x v="6"/>
    <x v="0"/>
    <n v="2.8"/>
    <n v="21"/>
    <n v="3.4"/>
    <n v="96"/>
    <n v="8.1538461538461533"/>
    <x v="0"/>
    <s v="Yes"/>
  </r>
  <r>
    <d v="2025-01-17T00:00:00"/>
    <n v="4.5999999999999996"/>
    <n v="100"/>
    <n v="60"/>
    <n v="40"/>
    <n v="2"/>
    <x v="1"/>
    <x v="1"/>
    <n v="2.1"/>
    <n v="26"/>
    <n v="2.2999999999999998"/>
    <n v="96"/>
    <n v="8.6956521739130448"/>
    <x v="0"/>
    <s v="No"/>
  </r>
  <r>
    <d v="2025-01-18T00:00:00"/>
    <n v="5.8"/>
    <n v="100"/>
    <n v="51"/>
    <n v="49"/>
    <n v="2"/>
    <x v="9"/>
    <x v="0"/>
    <n v="2.4"/>
    <n v="18"/>
    <n v="2.6"/>
    <n v="95"/>
    <n v="8.4482758620689662"/>
    <x v="1"/>
    <s v="No"/>
  </r>
  <r>
    <d v="2025-01-19T00:00:00"/>
    <n v="3.9"/>
    <n v="100"/>
    <n v="67"/>
    <n v="33"/>
    <n v="1"/>
    <x v="2"/>
    <x v="2"/>
    <n v="1.4"/>
    <n v="32"/>
    <n v="1.6"/>
    <n v="95"/>
    <n v="8.4615384615384617"/>
    <x v="1"/>
    <s v="No"/>
  </r>
  <r>
    <d v="2025-01-20T00:00:00"/>
    <n v="6.9"/>
    <n v="100"/>
    <n v="44"/>
    <n v="56"/>
    <n v="3"/>
    <x v="7"/>
    <x v="3"/>
    <n v="3.3"/>
    <n v="13"/>
    <n v="3.2"/>
    <n v="95"/>
    <n v="8.115942028985506"/>
    <x v="0"/>
    <s v="Yes"/>
  </r>
  <r>
    <d v="2025-01-21T00:00:00"/>
    <n v="4.8"/>
    <n v="100"/>
    <n v="59"/>
    <n v="41"/>
    <n v="2"/>
    <x v="8"/>
    <x v="1"/>
    <n v="2"/>
    <n v="20"/>
    <n v="2.1"/>
    <n v="95"/>
    <n v="8.5416666666666679"/>
    <x v="0"/>
    <s v="No"/>
  </r>
  <r>
    <d v="2025-01-22T00:00:00"/>
    <n v="5.9"/>
    <n v="100"/>
    <n v="50"/>
    <n v="50"/>
    <n v="2"/>
    <x v="3"/>
    <x v="0"/>
    <n v="2.5"/>
    <n v="19"/>
    <n v="2.8"/>
    <n v="94"/>
    <n v="8.4745762711864394"/>
    <x v="0"/>
    <s v="No"/>
  </r>
  <r>
    <d v="2025-01-23T00:00:00"/>
    <n v="3.7"/>
    <n v="100"/>
    <n v="70"/>
    <n v="30"/>
    <n v="1"/>
    <x v="10"/>
    <x v="2"/>
    <n v="1"/>
    <n v="28"/>
    <n v="1.3"/>
    <n v="94"/>
    <n v="8.108108108108107"/>
    <x v="0"/>
    <s v="No"/>
  </r>
  <r>
    <d v="2025-01-24T00:00:00"/>
    <n v="6.2"/>
    <n v="100"/>
    <n v="46"/>
    <n v="54"/>
    <n v="3"/>
    <x v="11"/>
    <x v="1"/>
    <n v="2.2999999999999998"/>
    <n v="17"/>
    <n v="2.7"/>
    <n v="94"/>
    <n v="8.7096774193548381"/>
    <x v="0"/>
    <s v="Yes"/>
  </r>
  <r>
    <d v="2025-01-25T00:00:00"/>
    <n v="5.3"/>
    <n v="100"/>
    <n v="54"/>
    <n v="46"/>
    <n v="2"/>
    <x v="4"/>
    <x v="0"/>
    <n v="2.1"/>
    <n v="22"/>
    <n v="2.5"/>
    <n v="93"/>
    <n v="8.6792452830188687"/>
    <x v="1"/>
    <s v="No"/>
  </r>
  <r>
    <d v="2025-01-26T00:00:00"/>
    <n v="4.4000000000000004"/>
    <n v="100"/>
    <n v="63"/>
    <n v="37"/>
    <n v="1"/>
    <x v="0"/>
    <x v="2"/>
    <n v="1.2"/>
    <n v="33"/>
    <n v="1.9"/>
    <n v="93"/>
    <n v="8.4090909090909083"/>
    <x v="1"/>
    <s v="No"/>
  </r>
  <r>
    <d v="2025-01-27T00:00:00"/>
    <n v="7.1"/>
    <n v="100"/>
    <n v="43"/>
    <n v="57"/>
    <n v="3"/>
    <x v="12"/>
    <x v="3"/>
    <n v="3.6"/>
    <n v="14"/>
    <n v="3.5"/>
    <n v="93"/>
    <n v="8.0281690140845079"/>
    <x v="0"/>
    <s v="Yes"/>
  </r>
  <r>
    <d v="2025-01-28T00:00:00"/>
    <n v="6.3"/>
    <n v="100"/>
    <n v="48"/>
    <n v="52"/>
    <n v="2"/>
    <x v="3"/>
    <x v="1"/>
    <n v="2.7"/>
    <n v="21"/>
    <n v="2.9"/>
    <n v="92"/>
    <n v="8.2539682539682548"/>
    <x v="0"/>
    <s v="Yes"/>
  </r>
  <r>
    <d v="2025-01-29T00:00:00"/>
    <n v="4.3"/>
    <n v="100"/>
    <n v="64"/>
    <n v="36"/>
    <n v="1"/>
    <x v="5"/>
    <x v="0"/>
    <n v="1.9"/>
    <n v="27"/>
    <n v="1.8"/>
    <n v="92"/>
    <n v="8.3720930232558146"/>
    <x v="0"/>
    <s v="No"/>
  </r>
  <r>
    <d v="2025-01-30T00:00:00"/>
    <n v="5.6"/>
    <n v="100"/>
    <n v="55"/>
    <n v="45"/>
    <n v="2"/>
    <x v="1"/>
    <x v="1"/>
    <n v="2.2000000000000002"/>
    <n v="24"/>
    <n v="2.4"/>
    <n v="92"/>
    <n v="8.0357142857142865"/>
    <x v="0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0BC7AA-04D8-4FA6-B429-4BD4745031B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15">
    <pivotField numFmtId="14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g Screen Time Hrs" fld="1" subtotal="average" baseField="0" baseItem="1"/>
    <dataField name="Avg Battery Drain %" fld="4" subtotal="average" baseField="0" baseItem="1"/>
    <dataField name="Avg Charging Sessions" fld="5" subtotal="average" baseField="0" baseItem="2"/>
    <dataField name="Avg Battery Health" fld="11" subtotal="average" baseField="0" baseItem="3"/>
  </dataFields>
  <formats count="9">
    <format dxfId="25">
      <pivotArea type="all" dataOnly="0" outline="0" fieldPosition="0"/>
    </format>
    <format dxfId="24">
      <pivotArea outline="0" collapsedLevelsAreSubtotals="1" fieldPosition="0"/>
    </format>
    <format dxfId="2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A7444B-BC16-42F9-8CB1-78B283A690F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8" firstHeaderRow="1" firstDataRow="1" firstDataCol="1"/>
  <pivotFields count="15">
    <pivotField numFmtId="14"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Battery_Drain_%" fld="4" subtotal="average" baseField="7" baseItem="3"/>
  </dataFields>
  <chartFormats count="3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FB24C-9CB3-4F96-B6D8-C91205A60BB9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6" firstHeaderRow="1" firstDataRow="1" firstDataCol="1"/>
  <pivotFields count="15"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Average of Screen_Time_Hrs" fld="1" subtotal="average" baseField="13" baseItem="0"/>
  </dataFields>
  <chartFormats count="2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4EEEB-0F49-47D2-A969-DE39011EBBFF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7" firstHeaderRow="1" firstDataRow="1" firstDataCol="1"/>
  <pivotFields count="15">
    <pivotField numFmtId="14" showAll="0"/>
    <pivotField showAll="0"/>
    <pivotField showAll="0"/>
    <pivotField showAll="0"/>
    <pivotField dataField="1" showAll="0"/>
    <pivotField showAll="0"/>
    <pivotField axis="axisRow" showAll="0">
      <items count="14">
        <item x="10"/>
        <item x="2"/>
        <item x="5"/>
        <item x="0"/>
        <item x="8"/>
        <item x="1"/>
        <item x="4"/>
        <item x="9"/>
        <item x="3"/>
        <item x="11"/>
        <item x="6"/>
        <item x="7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Battery_Drain_%" fld="4" subtotal="average" baseField="6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DE7C2-4FF3-4749-B011-0A5587B80F2F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5"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pp_Usage_Hrs" fld="8" baseField="7" baseItem="0"/>
  </dataFields>
  <chartFormats count="1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4ED038-4F89-488F-BD2E-5F26B9E3EBF0}" name="Table1" displayName="Table1" ref="A1:O31" totalsRowShown="0" headerRowDxfId="16" dataDxfId="15">
  <autoFilter ref="A1:O31" xr:uid="{3A4ED038-4F89-488F-BD2E-5F26B9E3EBF0}"/>
  <tableColumns count="15">
    <tableColumn id="1" xr3:uid="{9D78A158-F80D-4077-A732-49CBC6D6874F}" name="Date" dataDxfId="14"/>
    <tableColumn id="2" xr3:uid="{C0D4D442-932C-4D49-8A5C-9B0746E074CE}" name="Screen_Time_Hrs" dataDxfId="13"/>
    <tableColumn id="3" xr3:uid="{18913AAA-7863-46E1-95FA-5482DCF76955}" name="Battery_Start_%" dataDxfId="12"/>
    <tableColumn id="4" xr3:uid="{C7F8D3D5-1782-49B9-BA6F-26467FDAB604}" name="Battery_End_%" dataDxfId="11"/>
    <tableColumn id="5" xr3:uid="{931A0C3B-B200-4423-AC73-0660DBD8CC7B}" name="Battery_Drain_%" dataDxfId="10"/>
    <tableColumn id="6" xr3:uid="{DB435BB5-0778-482E-B8F6-BC6BADEA1E6B}" name="Charging_Sessions" dataDxfId="9"/>
    <tableColumn id="7" xr3:uid="{3C4091A5-0374-48B1-9D9C-80CAF54B77D2}" name="Max_Temperature_C" dataDxfId="8"/>
    <tableColumn id="8" xr3:uid="{C712D1BD-92C8-45B4-8313-B9F782BFE2E0}" name="Top_App_Used" dataDxfId="7"/>
    <tableColumn id="9" xr3:uid="{6DA2808C-E37F-42B7-9AAC-CDF6E91AB0F3}" name="App_Usage_Hrs" dataDxfId="6"/>
    <tableColumn id="10" xr3:uid="{57BEDF87-D3EF-4F71-9ABF-93D1CB828FDB}" name="Calls_Duration_Min" dataDxfId="5"/>
    <tableColumn id="11" xr3:uid="{3A2EAB04-8B47-4B6B-A450-95FD63A1F1C4}" name="Internet_Usage_GB" dataDxfId="4"/>
    <tableColumn id="12" xr3:uid="{20029FE9-1AFB-4E85-8571-66E2A3B4499B}" name="Battery_Health" dataDxfId="3"/>
    <tableColumn id="13" xr3:uid="{16CBC22F-9C80-40A9-8154-118524EA2090}" name="Battery_Drain_per_Hour" dataDxfId="2">
      <calculatedColumnFormula>Table1[[#This Row],[Battery_Drain_%]]/Table1[[#This Row],[Screen_Time_Hrs]]</calculatedColumnFormula>
    </tableColumn>
    <tableColumn id="14" xr3:uid="{2F0BBB3B-622E-4DA0-A18C-FB776E4D74AD}" name="Day_Type" dataDxfId="1">
      <calculatedColumnFormula>IF(WEEKDAY(Table1[[#This Row],[Date]],2)&lt;=5,"Weekday","Weekend")</calculatedColumnFormula>
    </tableColumn>
    <tableColumn id="15" xr3:uid="{A1BB3DDA-1B96-472C-AD3F-7826B0D31D3C}" name="High_Screen_Time" dataDxfId="0">
      <calculatedColumnFormula>IF(Table1[[#This Row],[Screen_Time_Hrs]]&gt;=6,"Yes","No")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EF026-BCFC-44C3-8DF9-DAB825B73BEF}">
  <dimension ref="A1:Q30"/>
  <sheetViews>
    <sheetView showGridLines="0" tabSelected="1" zoomScale="84" zoomScaleNormal="84" workbookViewId="0">
      <selection activeCell="H24" sqref="H24"/>
    </sheetView>
  </sheetViews>
  <sheetFormatPr defaultRowHeight="14.4" x14ac:dyDescent="0.3"/>
  <cols>
    <col min="1" max="1" width="18" bestFit="1" customWidth="1"/>
    <col min="2" max="2" width="17.109375" bestFit="1" customWidth="1"/>
    <col min="3" max="3" width="19.5546875" bestFit="1" customWidth="1"/>
    <col min="4" max="4" width="16.21875" bestFit="1" customWidth="1"/>
  </cols>
  <sheetData>
    <row r="1" spans="1:13" ht="36.6" x14ac:dyDescent="0.7">
      <c r="A1" s="8" t="s">
        <v>30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3" spans="1:13" x14ac:dyDescent="0.3">
      <c r="A3" s="6" t="s">
        <v>24</v>
      </c>
      <c r="B3" s="6" t="s">
        <v>19</v>
      </c>
      <c r="C3" s="6" t="s">
        <v>20</v>
      </c>
      <c r="D3" s="6" t="s">
        <v>21</v>
      </c>
    </row>
    <row r="4" spans="1:13" x14ac:dyDescent="0.3">
      <c r="A4" s="6">
        <v>5.3400000000000016</v>
      </c>
      <c r="B4" s="6">
        <v>44.9</v>
      </c>
      <c r="C4" s="6">
        <v>2.0333333333333332</v>
      </c>
      <c r="D4" s="6">
        <v>96.13333333333334</v>
      </c>
    </row>
    <row r="24" spans="2:17" ht="18" x14ac:dyDescent="0.35">
      <c r="B24" s="7"/>
      <c r="C24" s="7"/>
      <c r="D24" s="7"/>
      <c r="E24" s="7"/>
      <c r="J24" s="7" t="s">
        <v>37</v>
      </c>
      <c r="K24" s="7"/>
      <c r="L24" s="7"/>
      <c r="M24" s="7"/>
      <c r="N24" s="7"/>
      <c r="O24" s="7"/>
      <c r="P24" s="7"/>
      <c r="Q24" s="7"/>
    </row>
    <row r="25" spans="2:17" ht="18" x14ac:dyDescent="0.35">
      <c r="B25" s="7" t="s">
        <v>31</v>
      </c>
      <c r="C25" s="7"/>
      <c r="D25" s="7"/>
      <c r="E25" s="7"/>
      <c r="J25" s="7" t="s">
        <v>38</v>
      </c>
      <c r="K25" s="7"/>
      <c r="L25" s="7"/>
      <c r="M25" s="7"/>
      <c r="N25" s="7"/>
      <c r="O25" s="7"/>
      <c r="P25" s="7"/>
      <c r="Q25" s="7"/>
    </row>
    <row r="26" spans="2:17" ht="18" x14ac:dyDescent="0.35">
      <c r="B26" s="7" t="s">
        <v>32</v>
      </c>
      <c r="C26" s="7"/>
      <c r="D26" s="7"/>
      <c r="E26" s="7"/>
      <c r="J26" s="7" t="s">
        <v>39</v>
      </c>
      <c r="K26" s="7"/>
      <c r="L26" s="7"/>
      <c r="M26" s="7"/>
      <c r="N26" s="7"/>
      <c r="O26" s="7"/>
      <c r="P26" s="7"/>
      <c r="Q26" s="7"/>
    </row>
    <row r="27" spans="2:17" ht="18" x14ac:dyDescent="0.35">
      <c r="B27" s="7" t="s">
        <v>33</v>
      </c>
      <c r="C27" s="7"/>
      <c r="D27" s="7"/>
      <c r="E27" s="7"/>
      <c r="J27" s="7"/>
      <c r="K27" s="7"/>
      <c r="L27" s="7"/>
      <c r="M27" s="7"/>
      <c r="N27" s="7"/>
      <c r="O27" s="7"/>
      <c r="P27" s="7"/>
      <c r="Q27" s="7"/>
    </row>
    <row r="28" spans="2:17" ht="18" x14ac:dyDescent="0.35">
      <c r="B28" s="7" t="s">
        <v>34</v>
      </c>
      <c r="C28" s="7"/>
      <c r="D28" s="7"/>
      <c r="E28" s="7"/>
    </row>
    <row r="29" spans="2:17" ht="18" x14ac:dyDescent="0.35">
      <c r="B29" s="7" t="s">
        <v>35</v>
      </c>
      <c r="C29" s="7"/>
      <c r="D29" s="7"/>
      <c r="E29" s="7"/>
    </row>
    <row r="30" spans="2:17" ht="18" x14ac:dyDescent="0.35">
      <c r="B30" s="7" t="s">
        <v>36</v>
      </c>
      <c r="C30" s="7"/>
      <c r="D30" s="7"/>
      <c r="E30" s="7"/>
    </row>
  </sheetData>
  <mergeCells count="1">
    <mergeCell ref="A1:M1"/>
  </mergeCell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3A479-0FAD-4866-962F-E4586D58E721}">
  <dimension ref="A3:B8"/>
  <sheetViews>
    <sheetView workbookViewId="0">
      <selection activeCell="B7" sqref="B7"/>
    </sheetView>
  </sheetViews>
  <sheetFormatPr defaultRowHeight="14.4" x14ac:dyDescent="0.3"/>
  <cols>
    <col min="1" max="1" width="12.44140625" bestFit="1" customWidth="1"/>
    <col min="2" max="2" width="23.6640625" bestFit="1" customWidth="1"/>
  </cols>
  <sheetData>
    <row r="3" spans="1:2" x14ac:dyDescent="0.3">
      <c r="A3" s="4" t="s">
        <v>25</v>
      </c>
      <c r="B3" t="s">
        <v>23</v>
      </c>
    </row>
    <row r="4" spans="1:2" x14ac:dyDescent="0.3">
      <c r="A4" s="5" t="s">
        <v>15</v>
      </c>
      <c r="B4">
        <v>55.6</v>
      </c>
    </row>
    <row r="5" spans="1:2" x14ac:dyDescent="0.3">
      <c r="A5" s="5" t="s">
        <v>13</v>
      </c>
      <c r="B5">
        <v>45.222222222222221</v>
      </c>
    </row>
    <row r="6" spans="1:2" x14ac:dyDescent="0.3">
      <c r="A6" s="5" t="s">
        <v>14</v>
      </c>
      <c r="B6">
        <v>33.142857142857146</v>
      </c>
    </row>
    <row r="7" spans="1:2" x14ac:dyDescent="0.3">
      <c r="A7" s="5" t="s">
        <v>12</v>
      </c>
      <c r="B7">
        <v>47.777777777777779</v>
      </c>
    </row>
    <row r="8" spans="1:2" x14ac:dyDescent="0.3">
      <c r="A8" s="5" t="s">
        <v>26</v>
      </c>
      <c r="B8">
        <v>44.9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AAADE-531D-4179-8BD0-4B2887A87C36}">
  <dimension ref="A3:B6"/>
  <sheetViews>
    <sheetView workbookViewId="0">
      <selection activeCell="M14" sqref="M14"/>
    </sheetView>
  </sheetViews>
  <sheetFormatPr defaultRowHeight="14.4" x14ac:dyDescent="0.3"/>
  <cols>
    <col min="1" max="1" width="12.44140625" bestFit="1" customWidth="1"/>
    <col min="2" max="2" width="24.44140625" bestFit="1" customWidth="1"/>
  </cols>
  <sheetData>
    <row r="3" spans="1:2" x14ac:dyDescent="0.3">
      <c r="A3" s="4" t="s">
        <v>25</v>
      </c>
      <c r="B3" t="s">
        <v>22</v>
      </c>
    </row>
    <row r="4" spans="1:2" x14ac:dyDescent="0.3">
      <c r="A4" s="5" t="s">
        <v>27</v>
      </c>
      <c r="B4">
        <v>5.4454545454545453</v>
      </c>
    </row>
    <row r="5" spans="1:2" x14ac:dyDescent="0.3">
      <c r="A5" s="5" t="s">
        <v>28</v>
      </c>
      <c r="B5">
        <v>5.05</v>
      </c>
    </row>
    <row r="6" spans="1:2" x14ac:dyDescent="0.3">
      <c r="A6" s="5" t="s">
        <v>26</v>
      </c>
      <c r="B6">
        <v>5.3400000000000007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A16E0-E6E7-4C98-8B78-858A273A8036}">
  <dimension ref="A3:B17"/>
  <sheetViews>
    <sheetView topLeftCell="A2" workbookViewId="0">
      <selection activeCell="L22" sqref="L22"/>
    </sheetView>
  </sheetViews>
  <sheetFormatPr defaultRowHeight="14.4" x14ac:dyDescent="0.3"/>
  <cols>
    <col min="1" max="1" width="12.44140625" bestFit="1" customWidth="1"/>
    <col min="2" max="2" width="23.6640625" bestFit="1" customWidth="1"/>
  </cols>
  <sheetData>
    <row r="3" spans="1:2" x14ac:dyDescent="0.3">
      <c r="A3" s="4" t="s">
        <v>25</v>
      </c>
      <c r="B3" t="s">
        <v>23</v>
      </c>
    </row>
    <row r="4" spans="1:2" x14ac:dyDescent="0.3">
      <c r="A4" s="5">
        <v>33</v>
      </c>
      <c r="B4">
        <v>30.5</v>
      </c>
    </row>
    <row r="5" spans="1:2" x14ac:dyDescent="0.3">
      <c r="A5" s="5">
        <v>34</v>
      </c>
      <c r="B5">
        <v>32.5</v>
      </c>
    </row>
    <row r="6" spans="1:2" x14ac:dyDescent="0.3">
      <c r="A6" s="5">
        <v>35</v>
      </c>
      <c r="B6">
        <v>35</v>
      </c>
    </row>
    <row r="7" spans="1:2" x14ac:dyDescent="0.3">
      <c r="A7" s="5">
        <v>36</v>
      </c>
      <c r="B7">
        <v>36.666666666666664</v>
      </c>
    </row>
    <row r="8" spans="1:2" x14ac:dyDescent="0.3">
      <c r="A8" s="5">
        <v>37</v>
      </c>
      <c r="B8">
        <v>40</v>
      </c>
    </row>
    <row r="9" spans="1:2" x14ac:dyDescent="0.3">
      <c r="A9" s="5">
        <v>38</v>
      </c>
      <c r="B9">
        <v>43.333333333333336</v>
      </c>
    </row>
    <row r="10" spans="1:2" x14ac:dyDescent="0.3">
      <c r="A10" s="5">
        <v>39</v>
      </c>
      <c r="B10">
        <v>45.666666666666664</v>
      </c>
    </row>
    <row r="11" spans="1:2" x14ac:dyDescent="0.3">
      <c r="A11" s="5">
        <v>40</v>
      </c>
      <c r="B11">
        <v>48.5</v>
      </c>
    </row>
    <row r="12" spans="1:2" x14ac:dyDescent="0.3">
      <c r="A12" s="5">
        <v>41</v>
      </c>
      <c r="B12">
        <v>51.333333333333336</v>
      </c>
    </row>
    <row r="13" spans="1:2" x14ac:dyDescent="0.3">
      <c r="A13" s="5">
        <v>42</v>
      </c>
      <c r="B13">
        <v>52.5</v>
      </c>
    </row>
    <row r="14" spans="1:2" x14ac:dyDescent="0.3">
      <c r="A14" s="5">
        <v>43</v>
      </c>
      <c r="B14">
        <v>55.5</v>
      </c>
    </row>
    <row r="15" spans="1:2" x14ac:dyDescent="0.3">
      <c r="A15" s="5">
        <v>44</v>
      </c>
      <c r="B15">
        <v>55.5</v>
      </c>
    </row>
    <row r="16" spans="1:2" x14ac:dyDescent="0.3">
      <c r="A16" s="5">
        <v>45</v>
      </c>
      <c r="B16">
        <v>58</v>
      </c>
    </row>
    <row r="17" spans="1:2" x14ac:dyDescent="0.3">
      <c r="A17" s="5" t="s">
        <v>26</v>
      </c>
      <c r="B17">
        <v>44.9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4219-AD7E-4EC5-93E9-7B7AB32D75C8}">
  <dimension ref="A3:B8"/>
  <sheetViews>
    <sheetView workbookViewId="0">
      <selection activeCell="O11" sqref="O11"/>
    </sheetView>
  </sheetViews>
  <sheetFormatPr defaultRowHeight="14.4" x14ac:dyDescent="0.3"/>
  <cols>
    <col min="1" max="1" width="12.44140625" bestFit="1" customWidth="1"/>
    <col min="2" max="2" width="20" bestFit="1" customWidth="1"/>
  </cols>
  <sheetData>
    <row r="3" spans="1:2" x14ac:dyDescent="0.3">
      <c r="A3" s="4" t="s">
        <v>25</v>
      </c>
      <c r="B3" t="s">
        <v>29</v>
      </c>
    </row>
    <row r="4" spans="1:2" x14ac:dyDescent="0.3">
      <c r="A4" s="5" t="s">
        <v>15</v>
      </c>
      <c r="B4">
        <v>16.8</v>
      </c>
    </row>
    <row r="5" spans="1:2" x14ac:dyDescent="0.3">
      <c r="A5" s="5" t="s">
        <v>13</v>
      </c>
      <c r="B5">
        <v>19.999999999999996</v>
      </c>
    </row>
    <row r="6" spans="1:2" x14ac:dyDescent="0.3">
      <c r="A6" s="5" t="s">
        <v>14</v>
      </c>
      <c r="B6">
        <v>8.6999999999999993</v>
      </c>
    </row>
    <row r="7" spans="1:2" x14ac:dyDescent="0.3">
      <c r="A7" s="5" t="s">
        <v>12</v>
      </c>
      <c r="B7">
        <v>21.700000000000003</v>
      </c>
    </row>
    <row r="8" spans="1:2" x14ac:dyDescent="0.3">
      <c r="A8" s="5" t="s">
        <v>26</v>
      </c>
      <c r="B8">
        <v>67.2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2638-8430-43D7-A874-E84B740414F8}">
  <dimension ref="A1:O31"/>
  <sheetViews>
    <sheetView topLeftCell="A2" workbookViewId="0">
      <selection activeCell="D16" sqref="D16"/>
    </sheetView>
  </sheetViews>
  <sheetFormatPr defaultRowHeight="14.4" x14ac:dyDescent="0.3"/>
  <cols>
    <col min="1" max="1" width="11.109375" customWidth="1"/>
    <col min="2" max="2" width="17.21875" customWidth="1"/>
    <col min="3" max="3" width="16.109375" customWidth="1"/>
    <col min="4" max="4" width="15.109375" customWidth="1"/>
    <col min="5" max="5" width="16.44140625" customWidth="1"/>
    <col min="6" max="6" width="18.21875" customWidth="1"/>
    <col min="7" max="7" width="19.6640625" customWidth="1"/>
    <col min="8" max="8" width="15" customWidth="1"/>
    <col min="9" max="9" width="15.88671875" customWidth="1"/>
    <col min="10" max="10" width="18.77734375" customWidth="1"/>
    <col min="11" max="11" width="18.44140625" customWidth="1"/>
    <col min="12" max="12" width="15.21875" customWidth="1"/>
    <col min="13" max="13" width="25.21875" bestFit="1" customWidth="1"/>
    <col min="14" max="14" width="13.21875" bestFit="1" customWidth="1"/>
    <col min="15" max="15" width="20.77734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  <c r="N1" s="1" t="s">
        <v>17</v>
      </c>
      <c r="O1" s="1" t="s">
        <v>18</v>
      </c>
    </row>
    <row r="2" spans="1:15" x14ac:dyDescent="0.3">
      <c r="A2" s="2">
        <v>45658</v>
      </c>
      <c r="B2" s="3">
        <v>4.2</v>
      </c>
      <c r="C2" s="3">
        <v>100</v>
      </c>
      <c r="D2" s="3">
        <v>62</v>
      </c>
      <c r="E2" s="3">
        <v>38</v>
      </c>
      <c r="F2" s="3">
        <v>2</v>
      </c>
      <c r="G2" s="3">
        <v>36</v>
      </c>
      <c r="H2" s="3" t="s">
        <v>12</v>
      </c>
      <c r="I2" s="3">
        <v>1.8</v>
      </c>
      <c r="J2" s="3">
        <v>22</v>
      </c>
      <c r="K2" s="3">
        <v>1.9</v>
      </c>
      <c r="L2" s="3">
        <v>100</v>
      </c>
      <c r="M2" s="3">
        <f>Table1[[#This Row],[Battery_Drain_%]]/Table1[[#This Row],[Screen_Time_Hrs]]</f>
        <v>9.0476190476190474</v>
      </c>
      <c r="N2" s="3" t="str">
        <f>IF(WEEKDAY(Table1[[#This Row],[Date]],2)&lt;=5,"Weekday","Weekend")</f>
        <v>Weekday</v>
      </c>
      <c r="O2" s="3" t="str">
        <f>IF(Table1[[#This Row],[Screen_Time_Hrs]]&gt;=6,"Yes","No")</f>
        <v>No</v>
      </c>
    </row>
    <row r="3" spans="1:15" x14ac:dyDescent="0.3">
      <c r="A3" s="2">
        <v>45659</v>
      </c>
      <c r="B3" s="3">
        <v>5</v>
      </c>
      <c r="C3" s="3">
        <v>100</v>
      </c>
      <c r="D3" s="3">
        <v>55</v>
      </c>
      <c r="E3" s="3">
        <v>45</v>
      </c>
      <c r="F3" s="3">
        <v>2</v>
      </c>
      <c r="G3" s="3">
        <v>38</v>
      </c>
      <c r="H3" s="3" t="s">
        <v>13</v>
      </c>
      <c r="I3" s="3">
        <v>2.4</v>
      </c>
      <c r="J3" s="3">
        <v>15</v>
      </c>
      <c r="K3" s="3">
        <v>2.1</v>
      </c>
      <c r="L3" s="3">
        <v>100</v>
      </c>
      <c r="M3" s="3">
        <f>Table1[[#This Row],[Battery_Drain_%]]/Table1[[#This Row],[Screen_Time_Hrs]]</f>
        <v>9</v>
      </c>
      <c r="N3" s="3" t="str">
        <f>IF(WEEKDAY(Table1[[#This Row],[Date]],2)&lt;=5,"Weekday","Weekend")</f>
        <v>Weekday</v>
      </c>
      <c r="O3" s="3" t="str">
        <f>IF(Table1[[#This Row],[Screen_Time_Hrs]]&gt;=6,"Yes","No")</f>
        <v>No</v>
      </c>
    </row>
    <row r="4" spans="1:15" x14ac:dyDescent="0.3">
      <c r="A4" s="2">
        <v>45660</v>
      </c>
      <c r="B4" s="3">
        <v>3.8</v>
      </c>
      <c r="C4" s="3">
        <v>100</v>
      </c>
      <c r="D4" s="3">
        <v>68</v>
      </c>
      <c r="E4" s="3">
        <v>32</v>
      </c>
      <c r="F4" s="3">
        <v>1</v>
      </c>
      <c r="G4" s="3">
        <v>34</v>
      </c>
      <c r="H4" s="3" t="s">
        <v>14</v>
      </c>
      <c r="I4" s="3">
        <v>1.1000000000000001</v>
      </c>
      <c r="J4" s="3">
        <v>35</v>
      </c>
      <c r="K4" s="3">
        <v>1.4</v>
      </c>
      <c r="L4" s="3">
        <v>100</v>
      </c>
      <c r="M4" s="3">
        <f>Table1[[#This Row],[Battery_Drain_%]]/Table1[[#This Row],[Screen_Time_Hrs]]</f>
        <v>8.4210526315789469</v>
      </c>
      <c r="N4" s="3" t="str">
        <f>IF(WEEKDAY(Table1[[#This Row],[Date]],2)&lt;=5,"Weekday","Weekend")</f>
        <v>Weekday</v>
      </c>
      <c r="O4" s="3" t="str">
        <f>IF(Table1[[#This Row],[Screen_Time_Hrs]]&gt;=6,"Yes","No")</f>
        <v>No</v>
      </c>
    </row>
    <row r="5" spans="1:15" x14ac:dyDescent="0.3">
      <c r="A5" s="2">
        <v>45661</v>
      </c>
      <c r="B5" s="3">
        <v>6.1</v>
      </c>
      <c r="C5" s="3">
        <v>100</v>
      </c>
      <c r="D5" s="3">
        <v>48</v>
      </c>
      <c r="E5" s="3">
        <v>52</v>
      </c>
      <c r="F5" s="3">
        <v>3</v>
      </c>
      <c r="G5" s="3">
        <v>41</v>
      </c>
      <c r="H5" s="3" t="s">
        <v>12</v>
      </c>
      <c r="I5" s="3">
        <v>2.7</v>
      </c>
      <c r="J5" s="3">
        <v>28</v>
      </c>
      <c r="K5" s="3">
        <v>3.2</v>
      </c>
      <c r="L5" s="3">
        <v>99</v>
      </c>
      <c r="M5" s="3">
        <f>Table1[[#This Row],[Battery_Drain_%]]/Table1[[#This Row],[Screen_Time_Hrs]]</f>
        <v>8.5245901639344268</v>
      </c>
      <c r="N5" s="3" t="str">
        <f>IF(WEEKDAY(Table1[[#This Row],[Date]],2)&lt;=5,"Weekday","Weekend")</f>
        <v>Weekend</v>
      </c>
      <c r="O5" s="3" t="str">
        <f>IF(Table1[[#This Row],[Screen_Time_Hrs]]&gt;=6,"Yes","No")</f>
        <v>Yes</v>
      </c>
    </row>
    <row r="6" spans="1:15" x14ac:dyDescent="0.3">
      <c r="A6" s="2">
        <v>45662</v>
      </c>
      <c r="B6" s="3">
        <v>5.4</v>
      </c>
      <c r="C6" s="3">
        <v>100</v>
      </c>
      <c r="D6" s="3">
        <v>53</v>
      </c>
      <c r="E6" s="3">
        <v>47</v>
      </c>
      <c r="F6" s="3">
        <v>2</v>
      </c>
      <c r="G6" s="3">
        <v>39</v>
      </c>
      <c r="H6" s="3" t="s">
        <v>13</v>
      </c>
      <c r="I6" s="3">
        <v>2.1</v>
      </c>
      <c r="J6" s="3">
        <v>18</v>
      </c>
      <c r="K6" s="3">
        <v>2.4</v>
      </c>
      <c r="L6" s="3">
        <v>99</v>
      </c>
      <c r="M6" s="3">
        <f>Table1[[#This Row],[Battery_Drain_%]]/Table1[[#This Row],[Screen_Time_Hrs]]</f>
        <v>8.7037037037037024</v>
      </c>
      <c r="N6" s="3" t="str">
        <f>IF(WEEKDAY(Table1[[#This Row],[Date]],2)&lt;=5,"Weekday","Weekend")</f>
        <v>Weekend</v>
      </c>
      <c r="O6" s="3" t="str">
        <f>IF(Table1[[#This Row],[Screen_Time_Hrs]]&gt;=6,"Yes","No")</f>
        <v>No</v>
      </c>
    </row>
    <row r="7" spans="1:15" x14ac:dyDescent="0.3">
      <c r="A7" s="2">
        <v>45663</v>
      </c>
      <c r="B7" s="3">
        <v>4</v>
      </c>
      <c r="C7" s="3">
        <v>100</v>
      </c>
      <c r="D7" s="3">
        <v>66</v>
      </c>
      <c r="E7" s="3">
        <v>34</v>
      </c>
      <c r="F7" s="3">
        <v>1</v>
      </c>
      <c r="G7" s="3">
        <v>35</v>
      </c>
      <c r="H7" s="3" t="s">
        <v>14</v>
      </c>
      <c r="I7" s="3">
        <v>1.5</v>
      </c>
      <c r="J7" s="3">
        <v>40</v>
      </c>
      <c r="K7" s="3">
        <v>1.7</v>
      </c>
      <c r="L7" s="3">
        <v>99</v>
      </c>
      <c r="M7" s="3">
        <f>Table1[[#This Row],[Battery_Drain_%]]/Table1[[#This Row],[Screen_Time_Hrs]]</f>
        <v>8.5</v>
      </c>
      <c r="N7" s="3" t="str">
        <f>IF(WEEKDAY(Table1[[#This Row],[Date]],2)&lt;=5,"Weekday","Weekend")</f>
        <v>Weekday</v>
      </c>
      <c r="O7" s="3" t="str">
        <f>IF(Table1[[#This Row],[Screen_Time_Hrs]]&gt;=6,"Yes","No")</f>
        <v>No</v>
      </c>
    </row>
    <row r="8" spans="1:15" x14ac:dyDescent="0.3">
      <c r="A8" s="2">
        <v>45664</v>
      </c>
      <c r="B8" s="3">
        <v>7.2</v>
      </c>
      <c r="C8" s="3">
        <v>100</v>
      </c>
      <c r="D8" s="3">
        <v>42</v>
      </c>
      <c r="E8" s="3">
        <v>58</v>
      </c>
      <c r="F8" s="3">
        <v>3</v>
      </c>
      <c r="G8" s="3">
        <v>43</v>
      </c>
      <c r="H8" s="3" t="s">
        <v>15</v>
      </c>
      <c r="I8" s="3">
        <v>3.4</v>
      </c>
      <c r="J8" s="3">
        <v>10</v>
      </c>
      <c r="K8" s="3">
        <v>3.6</v>
      </c>
      <c r="L8" s="3">
        <v>99</v>
      </c>
      <c r="M8" s="3">
        <f>Table1[[#This Row],[Battery_Drain_%]]/Table1[[#This Row],[Screen_Time_Hrs]]</f>
        <v>8.0555555555555554</v>
      </c>
      <c r="N8" s="3" t="str">
        <f>IF(WEEKDAY(Table1[[#This Row],[Date]],2)&lt;=5,"Weekday","Weekend")</f>
        <v>Weekday</v>
      </c>
      <c r="O8" s="3" t="str">
        <f>IF(Table1[[#This Row],[Screen_Time_Hrs]]&gt;=6,"Yes","No")</f>
        <v>Yes</v>
      </c>
    </row>
    <row r="9" spans="1:15" x14ac:dyDescent="0.3">
      <c r="A9" s="2">
        <v>45665</v>
      </c>
      <c r="B9" s="3">
        <v>6.8</v>
      </c>
      <c r="C9" s="3">
        <v>100</v>
      </c>
      <c r="D9" s="3">
        <v>45</v>
      </c>
      <c r="E9" s="3">
        <v>55</v>
      </c>
      <c r="F9" s="3">
        <v>3</v>
      </c>
      <c r="G9" s="3">
        <v>44</v>
      </c>
      <c r="H9" s="3" t="s">
        <v>12</v>
      </c>
      <c r="I9" s="3">
        <v>2.9</v>
      </c>
      <c r="J9" s="3">
        <v>25</v>
      </c>
      <c r="K9" s="3">
        <v>3.3</v>
      </c>
      <c r="L9" s="3">
        <v>98</v>
      </c>
      <c r="M9" s="3">
        <f>Table1[[#This Row],[Battery_Drain_%]]/Table1[[#This Row],[Screen_Time_Hrs]]</f>
        <v>8.0882352941176467</v>
      </c>
      <c r="N9" s="3" t="str">
        <f>IF(WEEKDAY(Table1[[#This Row],[Date]],2)&lt;=5,"Weekday","Weekend")</f>
        <v>Weekday</v>
      </c>
      <c r="O9" s="3" t="str">
        <f>IF(Table1[[#This Row],[Screen_Time_Hrs]]&gt;=6,"Yes","No")</f>
        <v>Yes</v>
      </c>
    </row>
    <row r="10" spans="1:15" x14ac:dyDescent="0.3">
      <c r="A10" s="2">
        <v>45666</v>
      </c>
      <c r="B10" s="3">
        <v>4.5</v>
      </c>
      <c r="C10" s="3">
        <v>100</v>
      </c>
      <c r="D10" s="3">
        <v>61</v>
      </c>
      <c r="E10" s="3">
        <v>39</v>
      </c>
      <c r="F10" s="3">
        <v>2</v>
      </c>
      <c r="G10" s="3">
        <v>37</v>
      </c>
      <c r="H10" s="3" t="s">
        <v>13</v>
      </c>
      <c r="I10" s="3">
        <v>2.2000000000000002</v>
      </c>
      <c r="J10" s="3">
        <v>12</v>
      </c>
      <c r="K10" s="3">
        <v>2</v>
      </c>
      <c r="L10" s="3">
        <v>98</v>
      </c>
      <c r="M10" s="3">
        <f>Table1[[#This Row],[Battery_Drain_%]]/Table1[[#This Row],[Screen_Time_Hrs]]</f>
        <v>8.6666666666666661</v>
      </c>
      <c r="N10" s="3" t="str">
        <f>IF(WEEKDAY(Table1[[#This Row],[Date]],2)&lt;=5,"Weekday","Weekend")</f>
        <v>Weekday</v>
      </c>
      <c r="O10" s="3" t="str">
        <f>IF(Table1[[#This Row],[Screen_Time_Hrs]]&gt;=6,"Yes","No")</f>
        <v>No</v>
      </c>
    </row>
    <row r="11" spans="1:15" x14ac:dyDescent="0.3">
      <c r="A11" s="2">
        <v>45667</v>
      </c>
      <c r="B11" s="3">
        <v>5.7</v>
      </c>
      <c r="C11" s="3">
        <v>100</v>
      </c>
      <c r="D11" s="3">
        <v>52</v>
      </c>
      <c r="E11" s="3">
        <v>48</v>
      </c>
      <c r="F11" s="3">
        <v>2</v>
      </c>
      <c r="G11" s="3">
        <v>40</v>
      </c>
      <c r="H11" s="3" t="s">
        <v>15</v>
      </c>
      <c r="I11" s="3">
        <v>3</v>
      </c>
      <c r="J11" s="3">
        <v>18</v>
      </c>
      <c r="K11" s="3">
        <v>2.8</v>
      </c>
      <c r="L11" s="3">
        <v>98</v>
      </c>
      <c r="M11" s="3">
        <f>Table1[[#This Row],[Battery_Drain_%]]/Table1[[#This Row],[Screen_Time_Hrs]]</f>
        <v>8.4210526315789469</v>
      </c>
      <c r="N11" s="3" t="str">
        <f>IF(WEEKDAY(Table1[[#This Row],[Date]],2)&lt;=5,"Weekday","Weekend")</f>
        <v>Weekday</v>
      </c>
      <c r="O11" s="3" t="str">
        <f>IF(Table1[[#This Row],[Screen_Time_Hrs]]&gt;=6,"Yes","No")</f>
        <v>No</v>
      </c>
    </row>
    <row r="12" spans="1:15" x14ac:dyDescent="0.3">
      <c r="A12" s="2">
        <v>45668</v>
      </c>
      <c r="B12" s="3">
        <v>3.5</v>
      </c>
      <c r="C12" s="3">
        <v>100</v>
      </c>
      <c r="D12" s="3">
        <v>69</v>
      </c>
      <c r="E12" s="3">
        <v>31</v>
      </c>
      <c r="F12" s="3">
        <v>1</v>
      </c>
      <c r="G12" s="3">
        <v>33</v>
      </c>
      <c r="H12" s="3" t="s">
        <v>14</v>
      </c>
      <c r="I12" s="3">
        <v>1.2</v>
      </c>
      <c r="J12" s="3">
        <v>30</v>
      </c>
      <c r="K12" s="3">
        <v>1.5</v>
      </c>
      <c r="L12" s="3">
        <v>98</v>
      </c>
      <c r="M12" s="3">
        <f>Table1[[#This Row],[Battery_Drain_%]]/Table1[[#This Row],[Screen_Time_Hrs]]</f>
        <v>8.8571428571428577</v>
      </c>
      <c r="N12" s="3" t="str">
        <f>IF(WEEKDAY(Table1[[#This Row],[Date]],2)&lt;=5,"Weekday","Weekend")</f>
        <v>Weekend</v>
      </c>
      <c r="O12" s="3" t="str">
        <f>IF(Table1[[#This Row],[Screen_Time_Hrs]]&gt;=6,"Yes","No")</f>
        <v>No</v>
      </c>
    </row>
    <row r="13" spans="1:15" x14ac:dyDescent="0.3">
      <c r="A13" s="2">
        <v>45669</v>
      </c>
      <c r="B13" s="3">
        <v>6</v>
      </c>
      <c r="C13" s="3">
        <v>100</v>
      </c>
      <c r="D13" s="3">
        <v>49</v>
      </c>
      <c r="E13" s="3">
        <v>51</v>
      </c>
      <c r="F13" s="3">
        <v>3</v>
      </c>
      <c r="G13" s="3">
        <v>42</v>
      </c>
      <c r="H13" s="3" t="s">
        <v>12</v>
      </c>
      <c r="I13" s="3">
        <v>2.6</v>
      </c>
      <c r="J13" s="3">
        <v>20</v>
      </c>
      <c r="K13" s="3">
        <v>3</v>
      </c>
      <c r="L13" s="3">
        <v>97</v>
      </c>
      <c r="M13" s="3">
        <f>Table1[[#This Row],[Battery_Drain_%]]/Table1[[#This Row],[Screen_Time_Hrs]]</f>
        <v>8.5</v>
      </c>
      <c r="N13" s="3" t="str">
        <f>IF(WEEKDAY(Table1[[#This Row],[Date]],2)&lt;=5,"Weekday","Weekend")</f>
        <v>Weekend</v>
      </c>
      <c r="O13" s="3" t="str">
        <f>IF(Table1[[#This Row],[Screen_Time_Hrs]]&gt;=6,"Yes","No")</f>
        <v>Yes</v>
      </c>
    </row>
    <row r="14" spans="1:15" x14ac:dyDescent="0.3">
      <c r="A14" s="2">
        <v>45670</v>
      </c>
      <c r="B14" s="3">
        <v>5.2</v>
      </c>
      <c r="C14" s="3">
        <v>100</v>
      </c>
      <c r="D14" s="3">
        <v>56</v>
      </c>
      <c r="E14" s="3">
        <v>44</v>
      </c>
      <c r="F14" s="3">
        <v>2</v>
      </c>
      <c r="G14" s="3">
        <v>39</v>
      </c>
      <c r="H14" s="3" t="s">
        <v>13</v>
      </c>
      <c r="I14" s="3">
        <v>2</v>
      </c>
      <c r="J14" s="3">
        <v>14</v>
      </c>
      <c r="K14" s="3">
        <v>2.2000000000000002</v>
      </c>
      <c r="L14" s="3">
        <v>97</v>
      </c>
      <c r="M14" s="3">
        <f>Table1[[#This Row],[Battery_Drain_%]]/Table1[[#This Row],[Screen_Time_Hrs]]</f>
        <v>8.4615384615384617</v>
      </c>
      <c r="N14" s="3" t="str">
        <f>IF(WEEKDAY(Table1[[#This Row],[Date]],2)&lt;=5,"Weekday","Weekend")</f>
        <v>Weekday</v>
      </c>
      <c r="O14" s="3" t="str">
        <f>IF(Table1[[#This Row],[Screen_Time_Hrs]]&gt;=6,"Yes","No")</f>
        <v>No</v>
      </c>
    </row>
    <row r="15" spans="1:15" x14ac:dyDescent="0.3">
      <c r="A15" s="2">
        <v>45671</v>
      </c>
      <c r="B15" s="3">
        <v>4.0999999999999996</v>
      </c>
      <c r="C15" s="3">
        <v>100</v>
      </c>
      <c r="D15" s="3">
        <v>65</v>
      </c>
      <c r="E15" s="3">
        <v>35</v>
      </c>
      <c r="F15" s="3">
        <v>1</v>
      </c>
      <c r="G15" s="3">
        <v>36</v>
      </c>
      <c r="H15" s="3" t="s">
        <v>14</v>
      </c>
      <c r="I15" s="3">
        <v>1.3</v>
      </c>
      <c r="J15" s="3">
        <v>42</v>
      </c>
      <c r="K15" s="3">
        <v>1.8</v>
      </c>
      <c r="L15" s="3">
        <v>97</v>
      </c>
      <c r="M15" s="3">
        <f>Table1[[#This Row],[Battery_Drain_%]]/Table1[[#This Row],[Screen_Time_Hrs]]</f>
        <v>8.536585365853659</v>
      </c>
      <c r="N15" s="3" t="str">
        <f>IF(WEEKDAY(Table1[[#This Row],[Date]],2)&lt;=5,"Weekday","Weekend")</f>
        <v>Weekday</v>
      </c>
      <c r="O15" s="3" t="str">
        <f>IF(Table1[[#This Row],[Screen_Time_Hrs]]&gt;=6,"Yes","No")</f>
        <v>No</v>
      </c>
    </row>
    <row r="16" spans="1:15" x14ac:dyDescent="0.3">
      <c r="A16" s="2">
        <v>45672</v>
      </c>
      <c r="B16" s="3">
        <v>7.4</v>
      </c>
      <c r="C16" s="3">
        <v>100</v>
      </c>
      <c r="D16" s="3">
        <v>41</v>
      </c>
      <c r="E16" s="3">
        <v>59</v>
      </c>
      <c r="F16" s="3">
        <v>3</v>
      </c>
      <c r="G16" s="3">
        <v>45</v>
      </c>
      <c r="H16" s="3" t="s">
        <v>15</v>
      </c>
      <c r="I16" s="3">
        <v>3.5</v>
      </c>
      <c r="J16" s="3">
        <v>15</v>
      </c>
      <c r="K16" s="3">
        <v>3.7</v>
      </c>
      <c r="L16" s="3">
        <v>96</v>
      </c>
      <c r="M16" s="3">
        <f>Table1[[#This Row],[Battery_Drain_%]]/Table1[[#This Row],[Screen_Time_Hrs]]</f>
        <v>7.9729729729729728</v>
      </c>
      <c r="N16" s="3" t="str">
        <f>IF(WEEKDAY(Table1[[#This Row],[Date]],2)&lt;=5,"Weekday","Weekend")</f>
        <v>Weekday</v>
      </c>
      <c r="O16" s="3" t="str">
        <f>IF(Table1[[#This Row],[Screen_Time_Hrs]]&gt;=6,"Yes","No")</f>
        <v>Yes</v>
      </c>
    </row>
    <row r="17" spans="1:15" x14ac:dyDescent="0.3">
      <c r="A17" s="2">
        <v>45673</v>
      </c>
      <c r="B17" s="3">
        <v>6.5</v>
      </c>
      <c r="C17" s="3">
        <v>100</v>
      </c>
      <c r="D17" s="3">
        <v>47</v>
      </c>
      <c r="E17" s="3">
        <v>53</v>
      </c>
      <c r="F17" s="3">
        <v>3</v>
      </c>
      <c r="G17" s="3">
        <v>43</v>
      </c>
      <c r="H17" s="3" t="s">
        <v>12</v>
      </c>
      <c r="I17" s="3">
        <v>2.8</v>
      </c>
      <c r="J17" s="3">
        <v>21</v>
      </c>
      <c r="K17" s="3">
        <v>3.4</v>
      </c>
      <c r="L17" s="3">
        <v>96</v>
      </c>
      <c r="M17" s="3">
        <f>Table1[[#This Row],[Battery_Drain_%]]/Table1[[#This Row],[Screen_Time_Hrs]]</f>
        <v>8.1538461538461533</v>
      </c>
      <c r="N17" s="3" t="str">
        <f>IF(WEEKDAY(Table1[[#This Row],[Date]],2)&lt;=5,"Weekday","Weekend")</f>
        <v>Weekday</v>
      </c>
      <c r="O17" s="3" t="str">
        <f>IF(Table1[[#This Row],[Screen_Time_Hrs]]&gt;=6,"Yes","No")</f>
        <v>Yes</v>
      </c>
    </row>
    <row r="18" spans="1:15" x14ac:dyDescent="0.3">
      <c r="A18" s="2">
        <v>45674</v>
      </c>
      <c r="B18" s="3">
        <v>4.5999999999999996</v>
      </c>
      <c r="C18" s="3">
        <v>100</v>
      </c>
      <c r="D18" s="3">
        <v>60</v>
      </c>
      <c r="E18" s="3">
        <v>40</v>
      </c>
      <c r="F18" s="3">
        <v>2</v>
      </c>
      <c r="G18" s="3">
        <v>38</v>
      </c>
      <c r="H18" s="3" t="s">
        <v>13</v>
      </c>
      <c r="I18" s="3">
        <v>2.1</v>
      </c>
      <c r="J18" s="3">
        <v>26</v>
      </c>
      <c r="K18" s="3">
        <v>2.2999999999999998</v>
      </c>
      <c r="L18" s="3">
        <v>96</v>
      </c>
      <c r="M18" s="3">
        <f>Table1[[#This Row],[Battery_Drain_%]]/Table1[[#This Row],[Screen_Time_Hrs]]</f>
        <v>8.6956521739130448</v>
      </c>
      <c r="N18" s="3" t="str">
        <f>IF(WEEKDAY(Table1[[#This Row],[Date]],2)&lt;=5,"Weekday","Weekend")</f>
        <v>Weekday</v>
      </c>
      <c r="O18" s="3" t="str">
        <f>IF(Table1[[#This Row],[Screen_Time_Hrs]]&gt;=6,"Yes","No")</f>
        <v>No</v>
      </c>
    </row>
    <row r="19" spans="1:15" x14ac:dyDescent="0.3">
      <c r="A19" s="2">
        <v>45675</v>
      </c>
      <c r="B19" s="3">
        <v>5.8</v>
      </c>
      <c r="C19" s="3">
        <v>100</v>
      </c>
      <c r="D19" s="3">
        <v>51</v>
      </c>
      <c r="E19" s="3">
        <v>49</v>
      </c>
      <c r="F19" s="3">
        <v>2</v>
      </c>
      <c r="G19" s="3">
        <v>40</v>
      </c>
      <c r="H19" s="3" t="s">
        <v>12</v>
      </c>
      <c r="I19" s="3">
        <v>2.4</v>
      </c>
      <c r="J19" s="3">
        <v>18</v>
      </c>
      <c r="K19" s="3">
        <v>2.6</v>
      </c>
      <c r="L19" s="3">
        <v>95</v>
      </c>
      <c r="M19" s="3">
        <f>Table1[[#This Row],[Battery_Drain_%]]/Table1[[#This Row],[Screen_Time_Hrs]]</f>
        <v>8.4482758620689662</v>
      </c>
      <c r="N19" s="3" t="str">
        <f>IF(WEEKDAY(Table1[[#This Row],[Date]],2)&lt;=5,"Weekday","Weekend")</f>
        <v>Weekend</v>
      </c>
      <c r="O19" s="3" t="str">
        <f>IF(Table1[[#This Row],[Screen_Time_Hrs]]&gt;=6,"Yes","No")</f>
        <v>No</v>
      </c>
    </row>
    <row r="20" spans="1:15" x14ac:dyDescent="0.3">
      <c r="A20" s="2">
        <v>45676</v>
      </c>
      <c r="B20" s="3">
        <v>3.9</v>
      </c>
      <c r="C20" s="3">
        <v>100</v>
      </c>
      <c r="D20" s="3">
        <v>67</v>
      </c>
      <c r="E20" s="3">
        <v>33</v>
      </c>
      <c r="F20" s="3">
        <v>1</v>
      </c>
      <c r="G20" s="3">
        <v>34</v>
      </c>
      <c r="H20" s="3" t="s">
        <v>14</v>
      </c>
      <c r="I20" s="3">
        <v>1.4</v>
      </c>
      <c r="J20" s="3">
        <v>32</v>
      </c>
      <c r="K20" s="3">
        <v>1.6</v>
      </c>
      <c r="L20" s="3">
        <v>95</v>
      </c>
      <c r="M20" s="3">
        <f>Table1[[#This Row],[Battery_Drain_%]]/Table1[[#This Row],[Screen_Time_Hrs]]</f>
        <v>8.4615384615384617</v>
      </c>
      <c r="N20" s="3" t="str">
        <f>IF(WEEKDAY(Table1[[#This Row],[Date]],2)&lt;=5,"Weekday","Weekend")</f>
        <v>Weekend</v>
      </c>
      <c r="O20" s="3" t="str">
        <f>IF(Table1[[#This Row],[Screen_Time_Hrs]]&gt;=6,"Yes","No")</f>
        <v>No</v>
      </c>
    </row>
    <row r="21" spans="1:15" x14ac:dyDescent="0.3">
      <c r="A21" s="2">
        <v>45677</v>
      </c>
      <c r="B21" s="3">
        <v>6.9</v>
      </c>
      <c r="C21" s="3">
        <v>100</v>
      </c>
      <c r="D21" s="3">
        <v>44</v>
      </c>
      <c r="E21" s="3">
        <v>56</v>
      </c>
      <c r="F21" s="3">
        <v>3</v>
      </c>
      <c r="G21" s="3">
        <v>44</v>
      </c>
      <c r="H21" s="3" t="s">
        <v>15</v>
      </c>
      <c r="I21" s="3">
        <v>3.3</v>
      </c>
      <c r="J21" s="3">
        <v>13</v>
      </c>
      <c r="K21" s="3">
        <v>3.2</v>
      </c>
      <c r="L21" s="3">
        <v>95</v>
      </c>
      <c r="M21" s="3">
        <f>Table1[[#This Row],[Battery_Drain_%]]/Table1[[#This Row],[Screen_Time_Hrs]]</f>
        <v>8.115942028985506</v>
      </c>
      <c r="N21" s="3" t="str">
        <f>IF(WEEKDAY(Table1[[#This Row],[Date]],2)&lt;=5,"Weekday","Weekend")</f>
        <v>Weekday</v>
      </c>
      <c r="O21" s="3" t="str">
        <f>IF(Table1[[#This Row],[Screen_Time_Hrs]]&gt;=6,"Yes","No")</f>
        <v>Yes</v>
      </c>
    </row>
    <row r="22" spans="1:15" x14ac:dyDescent="0.3">
      <c r="A22" s="2">
        <v>45678</v>
      </c>
      <c r="B22" s="3">
        <v>4.8</v>
      </c>
      <c r="C22" s="3">
        <v>100</v>
      </c>
      <c r="D22" s="3">
        <v>59</v>
      </c>
      <c r="E22" s="3">
        <v>41</v>
      </c>
      <c r="F22" s="3">
        <v>2</v>
      </c>
      <c r="G22" s="3">
        <v>37</v>
      </c>
      <c r="H22" s="3" t="s">
        <v>13</v>
      </c>
      <c r="I22" s="3">
        <v>2</v>
      </c>
      <c r="J22" s="3">
        <v>20</v>
      </c>
      <c r="K22" s="3">
        <v>2.1</v>
      </c>
      <c r="L22" s="3">
        <v>95</v>
      </c>
      <c r="M22" s="3">
        <f>Table1[[#This Row],[Battery_Drain_%]]/Table1[[#This Row],[Screen_Time_Hrs]]</f>
        <v>8.5416666666666679</v>
      </c>
      <c r="N22" s="3" t="str">
        <f>IF(WEEKDAY(Table1[[#This Row],[Date]],2)&lt;=5,"Weekday","Weekend")</f>
        <v>Weekday</v>
      </c>
      <c r="O22" s="3" t="str">
        <f>IF(Table1[[#This Row],[Screen_Time_Hrs]]&gt;=6,"Yes","No")</f>
        <v>No</v>
      </c>
    </row>
    <row r="23" spans="1:15" x14ac:dyDescent="0.3">
      <c r="A23" s="2">
        <v>45679</v>
      </c>
      <c r="B23" s="3">
        <v>5.9</v>
      </c>
      <c r="C23" s="3">
        <v>100</v>
      </c>
      <c r="D23" s="3">
        <v>50</v>
      </c>
      <c r="E23" s="3">
        <v>50</v>
      </c>
      <c r="F23" s="3">
        <v>2</v>
      </c>
      <c r="G23" s="3">
        <v>41</v>
      </c>
      <c r="H23" s="3" t="s">
        <v>12</v>
      </c>
      <c r="I23" s="3">
        <v>2.5</v>
      </c>
      <c r="J23" s="3">
        <v>19</v>
      </c>
      <c r="K23" s="3">
        <v>2.8</v>
      </c>
      <c r="L23" s="3">
        <v>94</v>
      </c>
      <c r="M23" s="3">
        <f>Table1[[#This Row],[Battery_Drain_%]]/Table1[[#This Row],[Screen_Time_Hrs]]</f>
        <v>8.4745762711864394</v>
      </c>
      <c r="N23" s="3" t="str">
        <f>IF(WEEKDAY(Table1[[#This Row],[Date]],2)&lt;=5,"Weekday","Weekend")</f>
        <v>Weekday</v>
      </c>
      <c r="O23" s="3" t="str">
        <f>IF(Table1[[#This Row],[Screen_Time_Hrs]]&gt;=6,"Yes","No")</f>
        <v>No</v>
      </c>
    </row>
    <row r="24" spans="1:15" x14ac:dyDescent="0.3">
      <c r="A24" s="2">
        <v>45680</v>
      </c>
      <c r="B24" s="3">
        <v>3.7</v>
      </c>
      <c r="C24" s="3">
        <v>100</v>
      </c>
      <c r="D24" s="3">
        <v>70</v>
      </c>
      <c r="E24" s="3">
        <v>30</v>
      </c>
      <c r="F24" s="3">
        <v>1</v>
      </c>
      <c r="G24" s="3">
        <v>33</v>
      </c>
      <c r="H24" s="3" t="s">
        <v>14</v>
      </c>
      <c r="I24" s="3">
        <v>1</v>
      </c>
      <c r="J24" s="3">
        <v>28</v>
      </c>
      <c r="K24" s="3">
        <v>1.3</v>
      </c>
      <c r="L24" s="3">
        <v>94</v>
      </c>
      <c r="M24" s="3">
        <f>Table1[[#This Row],[Battery_Drain_%]]/Table1[[#This Row],[Screen_Time_Hrs]]</f>
        <v>8.108108108108107</v>
      </c>
      <c r="N24" s="3" t="str">
        <f>IF(WEEKDAY(Table1[[#This Row],[Date]],2)&lt;=5,"Weekday","Weekend")</f>
        <v>Weekday</v>
      </c>
      <c r="O24" s="3" t="str">
        <f>IF(Table1[[#This Row],[Screen_Time_Hrs]]&gt;=6,"Yes","No")</f>
        <v>No</v>
      </c>
    </row>
    <row r="25" spans="1:15" x14ac:dyDescent="0.3">
      <c r="A25" s="2">
        <v>45681</v>
      </c>
      <c r="B25" s="3">
        <v>6.2</v>
      </c>
      <c r="C25" s="3">
        <v>100</v>
      </c>
      <c r="D25" s="3">
        <v>46</v>
      </c>
      <c r="E25" s="3">
        <v>54</v>
      </c>
      <c r="F25" s="3">
        <v>3</v>
      </c>
      <c r="G25" s="3">
        <v>42</v>
      </c>
      <c r="H25" s="3" t="s">
        <v>13</v>
      </c>
      <c r="I25" s="3">
        <v>2.2999999999999998</v>
      </c>
      <c r="J25" s="3">
        <v>17</v>
      </c>
      <c r="K25" s="3">
        <v>2.7</v>
      </c>
      <c r="L25" s="3">
        <v>94</v>
      </c>
      <c r="M25" s="3">
        <f>Table1[[#This Row],[Battery_Drain_%]]/Table1[[#This Row],[Screen_Time_Hrs]]</f>
        <v>8.7096774193548381</v>
      </c>
      <c r="N25" s="3" t="str">
        <f>IF(WEEKDAY(Table1[[#This Row],[Date]],2)&lt;=5,"Weekday","Weekend")</f>
        <v>Weekday</v>
      </c>
      <c r="O25" s="3" t="str">
        <f>IF(Table1[[#This Row],[Screen_Time_Hrs]]&gt;=6,"Yes","No")</f>
        <v>Yes</v>
      </c>
    </row>
    <row r="26" spans="1:15" x14ac:dyDescent="0.3">
      <c r="A26" s="2">
        <v>45682</v>
      </c>
      <c r="B26" s="3">
        <v>5.3</v>
      </c>
      <c r="C26" s="3">
        <v>100</v>
      </c>
      <c r="D26" s="3">
        <v>54</v>
      </c>
      <c r="E26" s="3">
        <v>46</v>
      </c>
      <c r="F26" s="3">
        <v>2</v>
      </c>
      <c r="G26" s="3">
        <v>39</v>
      </c>
      <c r="H26" s="3" t="s">
        <v>12</v>
      </c>
      <c r="I26" s="3">
        <v>2.1</v>
      </c>
      <c r="J26" s="3">
        <v>22</v>
      </c>
      <c r="K26" s="3">
        <v>2.5</v>
      </c>
      <c r="L26" s="3">
        <v>93</v>
      </c>
      <c r="M26" s="3">
        <f>Table1[[#This Row],[Battery_Drain_%]]/Table1[[#This Row],[Screen_Time_Hrs]]</f>
        <v>8.6792452830188687</v>
      </c>
      <c r="N26" s="3" t="str">
        <f>IF(WEEKDAY(Table1[[#This Row],[Date]],2)&lt;=5,"Weekday","Weekend")</f>
        <v>Weekend</v>
      </c>
      <c r="O26" s="3" t="str">
        <f>IF(Table1[[#This Row],[Screen_Time_Hrs]]&gt;=6,"Yes","No")</f>
        <v>No</v>
      </c>
    </row>
    <row r="27" spans="1:15" x14ac:dyDescent="0.3">
      <c r="A27" s="2">
        <v>45683</v>
      </c>
      <c r="B27" s="3">
        <v>4.4000000000000004</v>
      </c>
      <c r="C27" s="3">
        <v>100</v>
      </c>
      <c r="D27" s="3">
        <v>63</v>
      </c>
      <c r="E27" s="3">
        <v>37</v>
      </c>
      <c r="F27" s="3">
        <v>1</v>
      </c>
      <c r="G27" s="3">
        <v>36</v>
      </c>
      <c r="H27" s="3" t="s">
        <v>14</v>
      </c>
      <c r="I27" s="3">
        <v>1.2</v>
      </c>
      <c r="J27" s="3">
        <v>33</v>
      </c>
      <c r="K27" s="3">
        <v>1.9</v>
      </c>
      <c r="L27" s="3">
        <v>93</v>
      </c>
      <c r="M27" s="3">
        <f>Table1[[#This Row],[Battery_Drain_%]]/Table1[[#This Row],[Screen_Time_Hrs]]</f>
        <v>8.4090909090909083</v>
      </c>
      <c r="N27" s="3" t="str">
        <f>IF(WEEKDAY(Table1[[#This Row],[Date]],2)&lt;=5,"Weekday","Weekend")</f>
        <v>Weekend</v>
      </c>
      <c r="O27" s="3" t="str">
        <f>IF(Table1[[#This Row],[Screen_Time_Hrs]]&gt;=6,"Yes","No")</f>
        <v>No</v>
      </c>
    </row>
    <row r="28" spans="1:15" x14ac:dyDescent="0.3">
      <c r="A28" s="2">
        <v>45684</v>
      </c>
      <c r="B28" s="3">
        <v>7.1</v>
      </c>
      <c r="C28" s="3">
        <v>100</v>
      </c>
      <c r="D28" s="3">
        <v>43</v>
      </c>
      <c r="E28" s="3">
        <v>57</v>
      </c>
      <c r="F28" s="3">
        <v>3</v>
      </c>
      <c r="G28" s="3">
        <v>45</v>
      </c>
      <c r="H28" s="3" t="s">
        <v>15</v>
      </c>
      <c r="I28" s="3">
        <v>3.6</v>
      </c>
      <c r="J28" s="3">
        <v>14</v>
      </c>
      <c r="K28" s="3">
        <v>3.5</v>
      </c>
      <c r="L28" s="3">
        <v>93</v>
      </c>
      <c r="M28" s="3">
        <f>Table1[[#This Row],[Battery_Drain_%]]/Table1[[#This Row],[Screen_Time_Hrs]]</f>
        <v>8.0281690140845079</v>
      </c>
      <c r="N28" s="3" t="str">
        <f>IF(WEEKDAY(Table1[[#This Row],[Date]],2)&lt;=5,"Weekday","Weekend")</f>
        <v>Weekday</v>
      </c>
      <c r="O28" s="3" t="str">
        <f>IF(Table1[[#This Row],[Screen_Time_Hrs]]&gt;=6,"Yes","No")</f>
        <v>Yes</v>
      </c>
    </row>
    <row r="29" spans="1:15" x14ac:dyDescent="0.3">
      <c r="A29" s="2">
        <v>45685</v>
      </c>
      <c r="B29" s="3">
        <v>6.3</v>
      </c>
      <c r="C29" s="3">
        <v>100</v>
      </c>
      <c r="D29" s="3">
        <v>48</v>
      </c>
      <c r="E29" s="3">
        <v>52</v>
      </c>
      <c r="F29" s="3">
        <v>2</v>
      </c>
      <c r="G29" s="3">
        <v>41</v>
      </c>
      <c r="H29" s="3" t="s">
        <v>13</v>
      </c>
      <c r="I29" s="3">
        <v>2.7</v>
      </c>
      <c r="J29" s="3">
        <v>21</v>
      </c>
      <c r="K29" s="3">
        <v>2.9</v>
      </c>
      <c r="L29" s="3">
        <v>92</v>
      </c>
      <c r="M29" s="3">
        <f>Table1[[#This Row],[Battery_Drain_%]]/Table1[[#This Row],[Screen_Time_Hrs]]</f>
        <v>8.2539682539682548</v>
      </c>
      <c r="N29" s="3" t="str">
        <f>IF(WEEKDAY(Table1[[#This Row],[Date]],2)&lt;=5,"Weekday","Weekend")</f>
        <v>Weekday</v>
      </c>
      <c r="O29" s="3" t="str">
        <f>IF(Table1[[#This Row],[Screen_Time_Hrs]]&gt;=6,"Yes","No")</f>
        <v>Yes</v>
      </c>
    </row>
    <row r="30" spans="1:15" x14ac:dyDescent="0.3">
      <c r="A30" s="2">
        <v>45686</v>
      </c>
      <c r="B30" s="3">
        <v>4.3</v>
      </c>
      <c r="C30" s="3">
        <v>100</v>
      </c>
      <c r="D30" s="3">
        <v>64</v>
      </c>
      <c r="E30" s="3">
        <v>36</v>
      </c>
      <c r="F30" s="3">
        <v>1</v>
      </c>
      <c r="G30" s="3">
        <v>35</v>
      </c>
      <c r="H30" s="3" t="s">
        <v>12</v>
      </c>
      <c r="I30" s="3">
        <v>1.9</v>
      </c>
      <c r="J30" s="3">
        <v>27</v>
      </c>
      <c r="K30" s="3">
        <v>1.8</v>
      </c>
      <c r="L30" s="3">
        <v>92</v>
      </c>
      <c r="M30" s="3">
        <f>Table1[[#This Row],[Battery_Drain_%]]/Table1[[#This Row],[Screen_Time_Hrs]]</f>
        <v>8.3720930232558146</v>
      </c>
      <c r="N30" s="3" t="str">
        <f>IF(WEEKDAY(Table1[[#This Row],[Date]],2)&lt;=5,"Weekday","Weekend")</f>
        <v>Weekday</v>
      </c>
      <c r="O30" s="3" t="str">
        <f>IF(Table1[[#This Row],[Screen_Time_Hrs]]&gt;=6,"Yes","No")</f>
        <v>No</v>
      </c>
    </row>
    <row r="31" spans="1:15" x14ac:dyDescent="0.3">
      <c r="A31" s="2">
        <v>45687</v>
      </c>
      <c r="B31" s="3">
        <v>5.6</v>
      </c>
      <c r="C31" s="3">
        <v>100</v>
      </c>
      <c r="D31" s="3">
        <v>55</v>
      </c>
      <c r="E31" s="3">
        <v>45</v>
      </c>
      <c r="F31" s="3">
        <v>2</v>
      </c>
      <c r="G31" s="3">
        <v>38</v>
      </c>
      <c r="H31" s="3" t="s">
        <v>13</v>
      </c>
      <c r="I31" s="3">
        <v>2.2000000000000002</v>
      </c>
      <c r="J31" s="3">
        <v>24</v>
      </c>
      <c r="K31" s="3">
        <v>2.4</v>
      </c>
      <c r="L31" s="3">
        <v>92</v>
      </c>
      <c r="M31" s="3">
        <f>Table1[[#This Row],[Battery_Drain_%]]/Table1[[#This Row],[Screen_Time_Hrs]]</f>
        <v>8.0357142857142865</v>
      </c>
      <c r="N31" s="3" t="str">
        <f>IF(WEEKDAY(Table1[[#This Row],[Date]],2)&lt;=5,"Weekday","Weekend")</f>
        <v>Weekday</v>
      </c>
      <c r="O31" s="3" t="str">
        <f>IF(Table1[[#This Row],[Screen_Time_Hrs]]&gt;=6,"Yes","No")</f>
        <v>No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Sheet5</vt:lpstr>
      <vt:lpstr>Sheet6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Vamshi Esam</dc:creator>
  <cp:lastModifiedBy>Vamshi Esam</cp:lastModifiedBy>
  <dcterms:created xsi:type="dcterms:W3CDTF">2025-11-15T15:41:16Z</dcterms:created>
  <dcterms:modified xsi:type="dcterms:W3CDTF">2025-11-19T07:10:47Z</dcterms:modified>
</cp:coreProperties>
</file>